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iacattau/Documents/GitHub/CS-manuscript/raw-data/"/>
    </mc:Choice>
  </mc:AlternateContent>
  <xr:revisionPtr revIDLastSave="0" documentId="13_ncr:1_{EF9B725B-BBF4-604D-AC97-A3C8544B941D}" xr6:coauthVersionLast="47" xr6:coauthVersionMax="47" xr10:uidLastSave="{00000000-0000-0000-0000-000000000000}"/>
  <bookViews>
    <workbookView xWindow="-31200" yWindow="-840" windowWidth="27640" windowHeight="16440" activeTab="8" xr2:uid="{193A9CFC-5DB1-8B40-99B1-AEA11CD8B456}"/>
  </bookViews>
  <sheets>
    <sheet name="table 1" sheetId="1" r:id="rId1"/>
    <sheet name="table 2" sheetId="3" r:id="rId2"/>
    <sheet name="table 3" sheetId="2" r:id="rId3"/>
    <sheet name="mult_comp" sheetId="7" r:id="rId4"/>
    <sheet name="supp1" sheetId="4" r:id="rId5"/>
    <sheet name="supp2" sheetId="5" r:id="rId6"/>
    <sheet name="supp1 (2)" sheetId="6" r:id="rId7"/>
    <sheet name="mortality analysis" sheetId="9" r:id="rId8"/>
    <sheet name="Kaplan Meiers" sheetId="10" r:id="rId9"/>
    <sheet name="Tukey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9" l="1"/>
  <c r="R6" i="9"/>
  <c r="S6" i="9"/>
  <c r="R7" i="9"/>
  <c r="R10" i="9"/>
  <c r="S10" i="9"/>
  <c r="P12" i="9"/>
  <c r="P17" i="9"/>
  <c r="R18" i="9"/>
  <c r="P20" i="9"/>
  <c r="Q20" i="9"/>
  <c r="P21" i="9"/>
  <c r="R22" i="9"/>
  <c r="P25" i="9"/>
  <c r="T25" i="9"/>
  <c r="R26" i="9"/>
  <c r="S26" i="9"/>
  <c r="Q28" i="9"/>
  <c r="P29" i="9"/>
  <c r="T29" i="9"/>
  <c r="R30" i="9"/>
  <c r="S30" i="9"/>
  <c r="P33" i="9"/>
  <c r="T33" i="9"/>
  <c r="R34" i="9"/>
  <c r="S34" i="9"/>
  <c r="T37" i="9"/>
  <c r="R38" i="9"/>
  <c r="S38" i="9"/>
  <c r="T41" i="9"/>
  <c r="R42" i="9"/>
  <c r="S42" i="9"/>
  <c r="P44" i="9"/>
  <c r="T45" i="9"/>
  <c r="R46" i="9"/>
  <c r="S46" i="9"/>
  <c r="T49" i="9"/>
  <c r="R50" i="9"/>
  <c r="S50" i="9"/>
  <c r="R51" i="9"/>
  <c r="T53" i="9"/>
  <c r="R54" i="9"/>
  <c r="S54" i="9"/>
  <c r="R55" i="9"/>
  <c r="R58" i="9"/>
  <c r="S58" i="9"/>
  <c r="P60" i="9"/>
  <c r="S62" i="9"/>
  <c r="O7" i="9"/>
  <c r="O8" i="9"/>
  <c r="O15" i="9"/>
  <c r="O16" i="9"/>
  <c r="O23" i="9"/>
  <c r="O24" i="9"/>
  <c r="O31" i="9"/>
  <c r="O32" i="9"/>
  <c r="O40" i="9"/>
  <c r="O47" i="9"/>
  <c r="O48" i="9"/>
  <c r="O56" i="9"/>
  <c r="O2" i="9"/>
  <c r="U2" i="9" s="1"/>
  <c r="K3" i="9"/>
  <c r="Q3" i="9" s="1"/>
  <c r="L3" i="9"/>
  <c r="R3" i="9" s="1"/>
  <c r="M3" i="9"/>
  <c r="S3" i="9" s="1"/>
  <c r="N3" i="9"/>
  <c r="T3" i="9" s="1"/>
  <c r="K4" i="9"/>
  <c r="Q4" i="9" s="1"/>
  <c r="L4" i="9"/>
  <c r="R4" i="9" s="1"/>
  <c r="M4" i="9"/>
  <c r="S4" i="9" s="1"/>
  <c r="N4" i="9"/>
  <c r="T4" i="9" s="1"/>
  <c r="K5" i="9"/>
  <c r="Q5" i="9" s="1"/>
  <c r="L5" i="9"/>
  <c r="R5" i="9" s="1"/>
  <c r="M5" i="9"/>
  <c r="S5" i="9" s="1"/>
  <c r="N5" i="9"/>
  <c r="K6" i="9"/>
  <c r="Q6" i="9" s="1"/>
  <c r="L6" i="9"/>
  <c r="M6" i="9"/>
  <c r="N6" i="9"/>
  <c r="T6" i="9" s="1"/>
  <c r="K7" i="9"/>
  <c r="Q7" i="9" s="1"/>
  <c r="L7" i="9"/>
  <c r="M7" i="9"/>
  <c r="S7" i="9" s="1"/>
  <c r="N7" i="9"/>
  <c r="T7" i="9" s="1"/>
  <c r="K8" i="9"/>
  <c r="Q8" i="9" s="1"/>
  <c r="L8" i="9"/>
  <c r="R8" i="9" s="1"/>
  <c r="M8" i="9"/>
  <c r="S8" i="9" s="1"/>
  <c r="N8" i="9"/>
  <c r="T8" i="9" s="1"/>
  <c r="K9" i="9"/>
  <c r="Q9" i="9" s="1"/>
  <c r="L9" i="9"/>
  <c r="R9" i="9" s="1"/>
  <c r="M9" i="9"/>
  <c r="S9" i="9" s="1"/>
  <c r="N9" i="9"/>
  <c r="T9" i="9" s="1"/>
  <c r="K10" i="9"/>
  <c r="Q10" i="9" s="1"/>
  <c r="L10" i="9"/>
  <c r="M10" i="9"/>
  <c r="N10" i="9"/>
  <c r="T10" i="9" s="1"/>
  <c r="K11" i="9"/>
  <c r="Q11" i="9" s="1"/>
  <c r="L11" i="9"/>
  <c r="R11" i="9" s="1"/>
  <c r="M11" i="9"/>
  <c r="S11" i="9" s="1"/>
  <c r="N11" i="9"/>
  <c r="T11" i="9" s="1"/>
  <c r="K12" i="9"/>
  <c r="Q12" i="9" s="1"/>
  <c r="L12" i="9"/>
  <c r="R12" i="9" s="1"/>
  <c r="M12" i="9"/>
  <c r="S12" i="9" s="1"/>
  <c r="N12" i="9"/>
  <c r="T12" i="9" s="1"/>
  <c r="K13" i="9"/>
  <c r="Q13" i="9" s="1"/>
  <c r="L13" i="9"/>
  <c r="R13" i="9" s="1"/>
  <c r="M13" i="9"/>
  <c r="S13" i="9" s="1"/>
  <c r="N13" i="9"/>
  <c r="T13" i="9" s="1"/>
  <c r="K14" i="9"/>
  <c r="Q14" i="9" s="1"/>
  <c r="L14" i="9"/>
  <c r="R14" i="9" s="1"/>
  <c r="M14" i="9"/>
  <c r="S14" i="9" s="1"/>
  <c r="N14" i="9"/>
  <c r="T14" i="9" s="1"/>
  <c r="K15" i="9"/>
  <c r="Q15" i="9" s="1"/>
  <c r="L15" i="9"/>
  <c r="R15" i="9" s="1"/>
  <c r="M15" i="9"/>
  <c r="S15" i="9" s="1"/>
  <c r="N15" i="9"/>
  <c r="T15" i="9" s="1"/>
  <c r="K16" i="9"/>
  <c r="Q16" i="9" s="1"/>
  <c r="L16" i="9"/>
  <c r="R16" i="9" s="1"/>
  <c r="M16" i="9"/>
  <c r="S16" i="9" s="1"/>
  <c r="N16" i="9"/>
  <c r="T16" i="9" s="1"/>
  <c r="K17" i="9"/>
  <c r="Q17" i="9" s="1"/>
  <c r="L17" i="9"/>
  <c r="R17" i="9" s="1"/>
  <c r="M17" i="9"/>
  <c r="S17" i="9" s="1"/>
  <c r="N17" i="9"/>
  <c r="T17" i="9" s="1"/>
  <c r="K18" i="9"/>
  <c r="Q18" i="9" s="1"/>
  <c r="L18" i="9"/>
  <c r="M18" i="9"/>
  <c r="S18" i="9" s="1"/>
  <c r="N18" i="9"/>
  <c r="T18" i="9" s="1"/>
  <c r="K19" i="9"/>
  <c r="Q19" i="9" s="1"/>
  <c r="L19" i="9"/>
  <c r="R19" i="9" s="1"/>
  <c r="M19" i="9"/>
  <c r="S19" i="9" s="1"/>
  <c r="N19" i="9"/>
  <c r="T19" i="9" s="1"/>
  <c r="K20" i="9"/>
  <c r="L20" i="9"/>
  <c r="R20" i="9" s="1"/>
  <c r="M20" i="9"/>
  <c r="S20" i="9" s="1"/>
  <c r="N20" i="9"/>
  <c r="T20" i="9" s="1"/>
  <c r="K21" i="9"/>
  <c r="Q21" i="9" s="1"/>
  <c r="L21" i="9"/>
  <c r="R21" i="9" s="1"/>
  <c r="M21" i="9"/>
  <c r="S21" i="9" s="1"/>
  <c r="N21" i="9"/>
  <c r="T21" i="9" s="1"/>
  <c r="K22" i="9"/>
  <c r="Q22" i="9" s="1"/>
  <c r="L22" i="9"/>
  <c r="M22" i="9"/>
  <c r="S22" i="9" s="1"/>
  <c r="N22" i="9"/>
  <c r="T22" i="9" s="1"/>
  <c r="K23" i="9"/>
  <c r="Q23" i="9" s="1"/>
  <c r="L23" i="9"/>
  <c r="R23" i="9" s="1"/>
  <c r="M23" i="9"/>
  <c r="S23" i="9" s="1"/>
  <c r="N23" i="9"/>
  <c r="T23" i="9" s="1"/>
  <c r="K24" i="9"/>
  <c r="Q24" i="9" s="1"/>
  <c r="L24" i="9"/>
  <c r="R24" i="9" s="1"/>
  <c r="M24" i="9"/>
  <c r="S24" i="9" s="1"/>
  <c r="N24" i="9"/>
  <c r="T24" i="9" s="1"/>
  <c r="K25" i="9"/>
  <c r="Q25" i="9" s="1"/>
  <c r="L25" i="9"/>
  <c r="R25" i="9" s="1"/>
  <c r="M25" i="9"/>
  <c r="S25" i="9" s="1"/>
  <c r="N25" i="9"/>
  <c r="K26" i="9"/>
  <c r="Q26" i="9" s="1"/>
  <c r="L26" i="9"/>
  <c r="M26" i="9"/>
  <c r="N26" i="9"/>
  <c r="T26" i="9" s="1"/>
  <c r="K27" i="9"/>
  <c r="Q27" i="9" s="1"/>
  <c r="L27" i="9"/>
  <c r="R27" i="9" s="1"/>
  <c r="M27" i="9"/>
  <c r="S27" i="9" s="1"/>
  <c r="N27" i="9"/>
  <c r="T27" i="9" s="1"/>
  <c r="K28" i="9"/>
  <c r="L28" i="9"/>
  <c r="R28" i="9" s="1"/>
  <c r="M28" i="9"/>
  <c r="S28" i="9" s="1"/>
  <c r="N28" i="9"/>
  <c r="T28" i="9" s="1"/>
  <c r="K29" i="9"/>
  <c r="Q29" i="9" s="1"/>
  <c r="L29" i="9"/>
  <c r="R29" i="9" s="1"/>
  <c r="M29" i="9"/>
  <c r="S29" i="9" s="1"/>
  <c r="N29" i="9"/>
  <c r="K30" i="9"/>
  <c r="Q30" i="9" s="1"/>
  <c r="L30" i="9"/>
  <c r="M30" i="9"/>
  <c r="N30" i="9"/>
  <c r="T30" i="9" s="1"/>
  <c r="K31" i="9"/>
  <c r="Q31" i="9" s="1"/>
  <c r="L31" i="9"/>
  <c r="R31" i="9" s="1"/>
  <c r="M31" i="9"/>
  <c r="S31" i="9" s="1"/>
  <c r="N31" i="9"/>
  <c r="T31" i="9" s="1"/>
  <c r="K32" i="9"/>
  <c r="Q32" i="9" s="1"/>
  <c r="L32" i="9"/>
  <c r="R32" i="9" s="1"/>
  <c r="M32" i="9"/>
  <c r="S32" i="9" s="1"/>
  <c r="N32" i="9"/>
  <c r="T32" i="9" s="1"/>
  <c r="K33" i="9"/>
  <c r="Q33" i="9" s="1"/>
  <c r="L33" i="9"/>
  <c r="R33" i="9" s="1"/>
  <c r="M33" i="9"/>
  <c r="S33" i="9" s="1"/>
  <c r="N33" i="9"/>
  <c r="K34" i="9"/>
  <c r="Q34" i="9" s="1"/>
  <c r="L34" i="9"/>
  <c r="M34" i="9"/>
  <c r="N34" i="9"/>
  <c r="T34" i="9" s="1"/>
  <c r="K35" i="9"/>
  <c r="Q35" i="9" s="1"/>
  <c r="L35" i="9"/>
  <c r="R35" i="9" s="1"/>
  <c r="M35" i="9"/>
  <c r="S35" i="9" s="1"/>
  <c r="N35" i="9"/>
  <c r="T35" i="9" s="1"/>
  <c r="K36" i="9"/>
  <c r="Q36" i="9" s="1"/>
  <c r="L36" i="9"/>
  <c r="R36" i="9" s="1"/>
  <c r="M36" i="9"/>
  <c r="S36" i="9" s="1"/>
  <c r="N36" i="9"/>
  <c r="T36" i="9" s="1"/>
  <c r="K37" i="9"/>
  <c r="Q37" i="9" s="1"/>
  <c r="L37" i="9"/>
  <c r="R37" i="9" s="1"/>
  <c r="M37" i="9"/>
  <c r="S37" i="9" s="1"/>
  <c r="N37" i="9"/>
  <c r="K38" i="9"/>
  <c r="Q38" i="9" s="1"/>
  <c r="L38" i="9"/>
  <c r="M38" i="9"/>
  <c r="N38" i="9"/>
  <c r="T38" i="9" s="1"/>
  <c r="K39" i="9"/>
  <c r="Q39" i="9" s="1"/>
  <c r="L39" i="9"/>
  <c r="R39" i="9" s="1"/>
  <c r="M39" i="9"/>
  <c r="S39" i="9" s="1"/>
  <c r="N39" i="9"/>
  <c r="T39" i="9" s="1"/>
  <c r="K40" i="9"/>
  <c r="Q40" i="9" s="1"/>
  <c r="L40" i="9"/>
  <c r="R40" i="9" s="1"/>
  <c r="M40" i="9"/>
  <c r="S40" i="9" s="1"/>
  <c r="N40" i="9"/>
  <c r="T40" i="9" s="1"/>
  <c r="K41" i="9"/>
  <c r="Q41" i="9" s="1"/>
  <c r="L41" i="9"/>
  <c r="R41" i="9" s="1"/>
  <c r="M41" i="9"/>
  <c r="S41" i="9" s="1"/>
  <c r="N41" i="9"/>
  <c r="K42" i="9"/>
  <c r="Q42" i="9" s="1"/>
  <c r="L42" i="9"/>
  <c r="M42" i="9"/>
  <c r="N42" i="9"/>
  <c r="T42" i="9" s="1"/>
  <c r="K43" i="9"/>
  <c r="Q43" i="9" s="1"/>
  <c r="L43" i="9"/>
  <c r="R43" i="9" s="1"/>
  <c r="M43" i="9"/>
  <c r="S43" i="9" s="1"/>
  <c r="N43" i="9"/>
  <c r="T43" i="9" s="1"/>
  <c r="K44" i="9"/>
  <c r="Q44" i="9" s="1"/>
  <c r="L44" i="9"/>
  <c r="R44" i="9" s="1"/>
  <c r="M44" i="9"/>
  <c r="S44" i="9" s="1"/>
  <c r="N44" i="9"/>
  <c r="T44" i="9" s="1"/>
  <c r="K45" i="9"/>
  <c r="Q45" i="9" s="1"/>
  <c r="L45" i="9"/>
  <c r="R45" i="9" s="1"/>
  <c r="M45" i="9"/>
  <c r="S45" i="9" s="1"/>
  <c r="N45" i="9"/>
  <c r="K46" i="9"/>
  <c r="Q46" i="9" s="1"/>
  <c r="L46" i="9"/>
  <c r="M46" i="9"/>
  <c r="N46" i="9"/>
  <c r="T46" i="9" s="1"/>
  <c r="K47" i="9"/>
  <c r="Q47" i="9" s="1"/>
  <c r="L47" i="9"/>
  <c r="R47" i="9" s="1"/>
  <c r="M47" i="9"/>
  <c r="S47" i="9" s="1"/>
  <c r="N47" i="9"/>
  <c r="T47" i="9" s="1"/>
  <c r="K48" i="9"/>
  <c r="Q48" i="9" s="1"/>
  <c r="L48" i="9"/>
  <c r="R48" i="9" s="1"/>
  <c r="M48" i="9"/>
  <c r="S48" i="9" s="1"/>
  <c r="N48" i="9"/>
  <c r="T48" i="9" s="1"/>
  <c r="K49" i="9"/>
  <c r="Q49" i="9" s="1"/>
  <c r="L49" i="9"/>
  <c r="R49" i="9" s="1"/>
  <c r="M49" i="9"/>
  <c r="S49" i="9" s="1"/>
  <c r="N49" i="9"/>
  <c r="K50" i="9"/>
  <c r="Q50" i="9" s="1"/>
  <c r="L50" i="9"/>
  <c r="M50" i="9"/>
  <c r="N50" i="9"/>
  <c r="T50" i="9" s="1"/>
  <c r="K51" i="9"/>
  <c r="Q51" i="9" s="1"/>
  <c r="L51" i="9"/>
  <c r="M51" i="9"/>
  <c r="S51" i="9" s="1"/>
  <c r="N51" i="9"/>
  <c r="T51" i="9" s="1"/>
  <c r="K52" i="9"/>
  <c r="Q52" i="9" s="1"/>
  <c r="L52" i="9"/>
  <c r="R52" i="9" s="1"/>
  <c r="M52" i="9"/>
  <c r="S52" i="9" s="1"/>
  <c r="N52" i="9"/>
  <c r="T52" i="9" s="1"/>
  <c r="K53" i="9"/>
  <c r="Q53" i="9" s="1"/>
  <c r="L53" i="9"/>
  <c r="R53" i="9" s="1"/>
  <c r="M53" i="9"/>
  <c r="S53" i="9" s="1"/>
  <c r="N53" i="9"/>
  <c r="K54" i="9"/>
  <c r="Q54" i="9" s="1"/>
  <c r="L54" i="9"/>
  <c r="M54" i="9"/>
  <c r="N54" i="9"/>
  <c r="T54" i="9" s="1"/>
  <c r="K55" i="9"/>
  <c r="Q55" i="9" s="1"/>
  <c r="L55" i="9"/>
  <c r="M55" i="9"/>
  <c r="S55" i="9" s="1"/>
  <c r="N55" i="9"/>
  <c r="T55" i="9" s="1"/>
  <c r="K56" i="9"/>
  <c r="Q56" i="9" s="1"/>
  <c r="L56" i="9"/>
  <c r="R56" i="9" s="1"/>
  <c r="M56" i="9"/>
  <c r="S56" i="9" s="1"/>
  <c r="N56" i="9"/>
  <c r="T56" i="9" s="1"/>
  <c r="K57" i="9"/>
  <c r="Q57" i="9" s="1"/>
  <c r="L57" i="9"/>
  <c r="R57" i="9" s="1"/>
  <c r="M57" i="9"/>
  <c r="S57" i="9" s="1"/>
  <c r="N57" i="9"/>
  <c r="T57" i="9" s="1"/>
  <c r="K58" i="9"/>
  <c r="Q58" i="9" s="1"/>
  <c r="L58" i="9"/>
  <c r="M58" i="9"/>
  <c r="N58" i="9"/>
  <c r="T58" i="9" s="1"/>
  <c r="K59" i="9"/>
  <c r="Q59" i="9" s="1"/>
  <c r="L59" i="9"/>
  <c r="R59" i="9" s="1"/>
  <c r="M59" i="9"/>
  <c r="S59" i="9" s="1"/>
  <c r="N59" i="9"/>
  <c r="T59" i="9" s="1"/>
  <c r="K60" i="9"/>
  <c r="Q60" i="9" s="1"/>
  <c r="L60" i="9"/>
  <c r="R60" i="9" s="1"/>
  <c r="M60" i="9"/>
  <c r="S60" i="9" s="1"/>
  <c r="N60" i="9"/>
  <c r="T60" i="9" s="1"/>
  <c r="K61" i="9"/>
  <c r="Q61" i="9" s="1"/>
  <c r="L61" i="9"/>
  <c r="R61" i="9" s="1"/>
  <c r="M61" i="9"/>
  <c r="S61" i="9" s="1"/>
  <c r="N61" i="9"/>
  <c r="T61" i="9" s="1"/>
  <c r="K62" i="9"/>
  <c r="Q62" i="9" s="1"/>
  <c r="L62" i="9"/>
  <c r="R62" i="9" s="1"/>
  <c r="M62" i="9"/>
  <c r="N62" i="9"/>
  <c r="T62" i="9" s="1"/>
  <c r="K2" i="9"/>
  <c r="Q2" i="9" s="1"/>
  <c r="W2" i="9" s="1"/>
  <c r="L2" i="9"/>
  <c r="R2" i="9" s="1"/>
  <c r="X2" i="9" s="1"/>
  <c r="M2" i="9"/>
  <c r="S2" i="9" s="1"/>
  <c r="Y2" i="9" s="1"/>
  <c r="N2" i="9"/>
  <c r="T2" i="9" s="1"/>
  <c r="Z2" i="9" s="1"/>
  <c r="J62" i="9"/>
  <c r="P62" i="9" s="1"/>
  <c r="J3" i="9"/>
  <c r="P3" i="9" s="1"/>
  <c r="J4" i="9"/>
  <c r="P4" i="9" s="1"/>
  <c r="J5" i="9"/>
  <c r="P5" i="9" s="1"/>
  <c r="J6" i="9"/>
  <c r="P6" i="9" s="1"/>
  <c r="J7" i="9"/>
  <c r="P7" i="9" s="1"/>
  <c r="J8" i="9"/>
  <c r="P8" i="9" s="1"/>
  <c r="J9" i="9"/>
  <c r="P9" i="9" s="1"/>
  <c r="J10" i="9"/>
  <c r="P10" i="9" s="1"/>
  <c r="J11" i="9"/>
  <c r="P11" i="9" s="1"/>
  <c r="J12" i="9"/>
  <c r="J13" i="9"/>
  <c r="P13" i="9" s="1"/>
  <c r="J14" i="9"/>
  <c r="P14" i="9" s="1"/>
  <c r="J15" i="9"/>
  <c r="P15" i="9" s="1"/>
  <c r="J16" i="9"/>
  <c r="P16" i="9" s="1"/>
  <c r="J17" i="9"/>
  <c r="J18" i="9"/>
  <c r="P18" i="9" s="1"/>
  <c r="J19" i="9"/>
  <c r="P19" i="9" s="1"/>
  <c r="J20" i="9"/>
  <c r="J21" i="9"/>
  <c r="J22" i="9"/>
  <c r="P22" i="9" s="1"/>
  <c r="J23" i="9"/>
  <c r="P23" i="9" s="1"/>
  <c r="J24" i="9"/>
  <c r="P24" i="9" s="1"/>
  <c r="J25" i="9"/>
  <c r="J26" i="9"/>
  <c r="P26" i="9" s="1"/>
  <c r="J27" i="9"/>
  <c r="P27" i="9" s="1"/>
  <c r="J28" i="9"/>
  <c r="P28" i="9" s="1"/>
  <c r="J29" i="9"/>
  <c r="J30" i="9"/>
  <c r="P30" i="9" s="1"/>
  <c r="J31" i="9"/>
  <c r="P31" i="9" s="1"/>
  <c r="J32" i="9"/>
  <c r="P32" i="9" s="1"/>
  <c r="J33" i="9"/>
  <c r="J34" i="9"/>
  <c r="P34" i="9" s="1"/>
  <c r="J35" i="9"/>
  <c r="P35" i="9" s="1"/>
  <c r="J36" i="9"/>
  <c r="P36" i="9" s="1"/>
  <c r="J37" i="9"/>
  <c r="P37" i="9" s="1"/>
  <c r="J38" i="9"/>
  <c r="P38" i="9" s="1"/>
  <c r="J39" i="9"/>
  <c r="P39" i="9" s="1"/>
  <c r="J40" i="9"/>
  <c r="P40" i="9" s="1"/>
  <c r="J41" i="9"/>
  <c r="P41" i="9" s="1"/>
  <c r="J42" i="9"/>
  <c r="P42" i="9" s="1"/>
  <c r="J43" i="9"/>
  <c r="P43" i="9" s="1"/>
  <c r="J44" i="9"/>
  <c r="J45" i="9"/>
  <c r="P45" i="9" s="1"/>
  <c r="J46" i="9"/>
  <c r="P46" i="9" s="1"/>
  <c r="J47" i="9"/>
  <c r="P47" i="9" s="1"/>
  <c r="J48" i="9"/>
  <c r="P48" i="9" s="1"/>
  <c r="J49" i="9"/>
  <c r="P49" i="9" s="1"/>
  <c r="J50" i="9"/>
  <c r="P50" i="9" s="1"/>
  <c r="J51" i="9"/>
  <c r="P51" i="9" s="1"/>
  <c r="J52" i="9"/>
  <c r="P52" i="9" s="1"/>
  <c r="J53" i="9"/>
  <c r="P53" i="9" s="1"/>
  <c r="J54" i="9"/>
  <c r="P54" i="9" s="1"/>
  <c r="J55" i="9"/>
  <c r="P55" i="9" s="1"/>
  <c r="J56" i="9"/>
  <c r="P56" i="9" s="1"/>
  <c r="J57" i="9"/>
  <c r="P57" i="9" s="1"/>
  <c r="J58" i="9"/>
  <c r="P58" i="9" s="1"/>
  <c r="J59" i="9"/>
  <c r="P59" i="9" s="1"/>
  <c r="J60" i="9"/>
  <c r="J61" i="9"/>
  <c r="P61" i="9" s="1"/>
  <c r="J2" i="9"/>
  <c r="P2" i="9" s="1"/>
  <c r="V2" i="9" s="1"/>
  <c r="V3" i="9" s="1"/>
  <c r="I3" i="9"/>
  <c r="O3" i="9" s="1"/>
  <c r="I4" i="9"/>
  <c r="O4" i="9" s="1"/>
  <c r="I5" i="9"/>
  <c r="O5" i="9" s="1"/>
  <c r="I6" i="9"/>
  <c r="O6" i="9" s="1"/>
  <c r="I7" i="9"/>
  <c r="I8" i="9"/>
  <c r="I9" i="9"/>
  <c r="O9" i="9" s="1"/>
  <c r="I10" i="9"/>
  <c r="O10" i="9" s="1"/>
  <c r="I11" i="9"/>
  <c r="O11" i="9" s="1"/>
  <c r="I12" i="9"/>
  <c r="O12" i="9" s="1"/>
  <c r="I13" i="9"/>
  <c r="O13" i="9" s="1"/>
  <c r="I14" i="9"/>
  <c r="O14" i="9" s="1"/>
  <c r="I15" i="9"/>
  <c r="I16" i="9"/>
  <c r="I17" i="9"/>
  <c r="O17" i="9" s="1"/>
  <c r="I18" i="9"/>
  <c r="O18" i="9" s="1"/>
  <c r="I19" i="9"/>
  <c r="O19" i="9" s="1"/>
  <c r="I20" i="9"/>
  <c r="O20" i="9" s="1"/>
  <c r="I21" i="9"/>
  <c r="O21" i="9" s="1"/>
  <c r="I22" i="9"/>
  <c r="O22" i="9" s="1"/>
  <c r="I23" i="9"/>
  <c r="I24" i="9"/>
  <c r="I25" i="9"/>
  <c r="O25" i="9" s="1"/>
  <c r="I26" i="9"/>
  <c r="O26" i="9" s="1"/>
  <c r="I27" i="9"/>
  <c r="O27" i="9" s="1"/>
  <c r="I28" i="9"/>
  <c r="O28" i="9" s="1"/>
  <c r="I29" i="9"/>
  <c r="O29" i="9" s="1"/>
  <c r="I30" i="9"/>
  <c r="O30" i="9" s="1"/>
  <c r="I31" i="9"/>
  <c r="I32" i="9"/>
  <c r="I33" i="9"/>
  <c r="O33" i="9" s="1"/>
  <c r="I34" i="9"/>
  <c r="O34" i="9" s="1"/>
  <c r="I35" i="9"/>
  <c r="O35" i="9" s="1"/>
  <c r="I36" i="9"/>
  <c r="O36" i="9" s="1"/>
  <c r="I37" i="9"/>
  <c r="O37" i="9" s="1"/>
  <c r="I38" i="9"/>
  <c r="O38" i="9" s="1"/>
  <c r="I39" i="9"/>
  <c r="O39" i="9" s="1"/>
  <c r="I40" i="9"/>
  <c r="I41" i="9"/>
  <c r="O41" i="9" s="1"/>
  <c r="I42" i="9"/>
  <c r="O42" i="9" s="1"/>
  <c r="I43" i="9"/>
  <c r="O43" i="9" s="1"/>
  <c r="I44" i="9"/>
  <c r="O44" i="9" s="1"/>
  <c r="I45" i="9"/>
  <c r="O45" i="9" s="1"/>
  <c r="I46" i="9"/>
  <c r="O46" i="9" s="1"/>
  <c r="I47" i="9"/>
  <c r="I48" i="9"/>
  <c r="I49" i="9"/>
  <c r="O49" i="9" s="1"/>
  <c r="I50" i="9"/>
  <c r="O50" i="9" s="1"/>
  <c r="I51" i="9"/>
  <c r="O51" i="9" s="1"/>
  <c r="I52" i="9"/>
  <c r="O52" i="9" s="1"/>
  <c r="I53" i="9"/>
  <c r="O53" i="9" s="1"/>
  <c r="I54" i="9"/>
  <c r="O54" i="9" s="1"/>
  <c r="I55" i="9"/>
  <c r="O55" i="9" s="1"/>
  <c r="I56" i="9"/>
  <c r="I57" i="9"/>
  <c r="O57" i="9" s="1"/>
  <c r="I58" i="9"/>
  <c r="O58" i="9" s="1"/>
  <c r="I59" i="9"/>
  <c r="O59" i="9" s="1"/>
  <c r="I60" i="9"/>
  <c r="O60" i="9" s="1"/>
  <c r="I61" i="9"/>
  <c r="O61" i="9" s="1"/>
  <c r="I62" i="9"/>
  <c r="O62" i="9" s="1"/>
  <c r="I2" i="9"/>
  <c r="X3" i="9" l="1"/>
  <c r="X4" i="9" s="1"/>
  <c r="V4" i="9"/>
  <c r="V5" i="9" s="1"/>
  <c r="V6" i="9" s="1"/>
  <c r="V7" i="9" s="1"/>
  <c r="V8" i="9" s="1"/>
  <c r="V9" i="9" s="1"/>
  <c r="V10" i="9" s="1"/>
  <c r="V11" i="9" s="1"/>
  <c r="V12" i="9" s="1"/>
  <c r="V13" i="9" s="1"/>
  <c r="V14" i="9" s="1"/>
  <c r="V15" i="9" s="1"/>
  <c r="V16" i="9" s="1"/>
  <c r="V17" i="9" s="1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Z3" i="9"/>
  <c r="Z4" i="9" s="1"/>
  <c r="Y3" i="9"/>
  <c r="Y4" i="9" s="1"/>
  <c r="Y5" i="9" s="1"/>
  <c r="Y6" i="9" s="1"/>
  <c r="Y7" i="9" s="1"/>
  <c r="Y8" i="9" s="1"/>
  <c r="Y9" i="9" s="1"/>
  <c r="Y10" i="9" s="1"/>
  <c r="Y11" i="9" s="1"/>
  <c r="Y12" i="9" s="1"/>
  <c r="Y13" i="9" s="1"/>
  <c r="Y14" i="9" s="1"/>
  <c r="Y15" i="9" s="1"/>
  <c r="Y16" i="9" s="1"/>
  <c r="Y17" i="9" s="1"/>
  <c r="Y18" i="9" s="1"/>
  <c r="Y19" i="9" s="1"/>
  <c r="Y20" i="9" s="1"/>
  <c r="Y21" i="9" s="1"/>
  <c r="Y22" i="9" s="1"/>
  <c r="Y23" i="9" s="1"/>
  <c r="Y24" i="9" s="1"/>
  <c r="Y25" i="9" s="1"/>
  <c r="Y26" i="9" s="1"/>
  <c r="Y27" i="9" s="1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62" i="9" s="1"/>
  <c r="X5" i="9"/>
  <c r="X6" i="9" s="1"/>
  <c r="X7" i="9" s="1"/>
  <c r="X8" i="9" s="1"/>
  <c r="X9" i="9" s="1"/>
  <c r="X10" i="9" s="1"/>
  <c r="X11" i="9" s="1"/>
  <c r="X12" i="9" s="1"/>
  <c r="X13" i="9" s="1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U3" i="9"/>
  <c r="U4" i="9" s="1"/>
  <c r="U5" i="9" s="1"/>
  <c r="U6" i="9" s="1"/>
  <c r="U7" i="9" s="1"/>
  <c r="U8" i="9" s="1"/>
  <c r="U9" i="9" s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W3" i="9"/>
  <c r="W4" i="9" s="1"/>
  <c r="W5" i="9" s="1"/>
  <c r="W6" i="9" s="1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Z5" i="9"/>
  <c r="Z6" i="9" s="1"/>
  <c r="Z7" i="9" s="1"/>
  <c r="Z8" i="9" s="1"/>
  <c r="Z9" i="9" s="1"/>
  <c r="Z10" i="9" s="1"/>
  <c r="Z11" i="9" s="1"/>
  <c r="Z12" i="9" s="1"/>
  <c r="Z13" i="9" s="1"/>
  <c r="Z14" i="9" s="1"/>
  <c r="Z15" i="9" s="1"/>
  <c r="Z16" i="9" s="1"/>
  <c r="Z17" i="9" s="1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</calcChain>
</file>

<file path=xl/sharedStrings.xml><?xml version="1.0" encoding="utf-8"?>
<sst xmlns="http://schemas.openxmlformats.org/spreadsheetml/2006/main" count="864" uniqueCount="229">
  <si>
    <t>Df</t>
  </si>
  <si>
    <t>Sum Sq</t>
  </si>
  <si>
    <t>Mean Sq</t>
  </si>
  <si>
    <t>Pr(&gt;F)</t>
  </si>
  <si>
    <t>BSA</t>
  </si>
  <si>
    <t>ploidy</t>
  </si>
  <si>
    <t>trt</t>
  </si>
  <si>
    <t>***</t>
  </si>
  <si>
    <t>tank</t>
  </si>
  <si>
    <t>sample_date</t>
  </si>
  <si>
    <t>shell_volume</t>
  </si>
  <si>
    <t>Residuals</t>
  </si>
  <si>
    <t>F-value</t>
  </si>
  <si>
    <t>protein</t>
  </si>
  <si>
    <t xml:space="preserve">treatment </t>
  </si>
  <si>
    <t>sample date</t>
  </si>
  <si>
    <t>shell volume</t>
  </si>
  <si>
    <t>diff</t>
  </si>
  <si>
    <t>lwr</t>
  </si>
  <si>
    <t>upr</t>
  </si>
  <si>
    <t>p adj</t>
  </si>
  <si>
    <t>D-desiccation-D-control</t>
  </si>
  <si>
    <t>CS_activity</t>
  </si>
  <si>
    <t>groups</t>
  </si>
  <si>
    <t>a</t>
  </si>
  <si>
    <t>ab</t>
  </si>
  <si>
    <t>bc</t>
  </si>
  <si>
    <t>c</t>
  </si>
  <si>
    <t>ID</t>
  </si>
  <si>
    <t>day</t>
  </si>
  <si>
    <t>shell_length</t>
  </si>
  <si>
    <t>shell_width</t>
  </si>
  <si>
    <t>shell_height</t>
  </si>
  <si>
    <t>calc_dry_weight</t>
  </si>
  <si>
    <t>avg1</t>
  </si>
  <si>
    <t>avg2</t>
  </si>
  <si>
    <t>OD</t>
  </si>
  <si>
    <t>nmol</t>
  </si>
  <si>
    <t>P</t>
  </si>
  <si>
    <t>D54</t>
  </si>
  <si>
    <t>D</t>
  </si>
  <si>
    <t>tank_5</t>
  </si>
  <si>
    <t>D-control</t>
  </si>
  <si>
    <t>D55</t>
  </si>
  <si>
    <t>D56</t>
  </si>
  <si>
    <t>D57</t>
  </si>
  <si>
    <t>D58</t>
  </si>
  <si>
    <t>D59</t>
  </si>
  <si>
    <t>M41</t>
  </si>
  <si>
    <t>tank_2</t>
  </si>
  <si>
    <t>D-heat</t>
  </si>
  <si>
    <t>M42</t>
  </si>
  <si>
    <t>M43</t>
  </si>
  <si>
    <t>M45</t>
  </si>
  <si>
    <t>M46</t>
  </si>
  <si>
    <t>M47</t>
  </si>
  <si>
    <t>tank_3</t>
  </si>
  <si>
    <t>M48</t>
  </si>
  <si>
    <t>M49</t>
  </si>
  <si>
    <t>M89</t>
  </si>
  <si>
    <t>M90</t>
  </si>
  <si>
    <t>N41</t>
  </si>
  <si>
    <t>N42</t>
  </si>
  <si>
    <t>N43</t>
  </si>
  <si>
    <t>N44</t>
  </si>
  <si>
    <t>N45</t>
  </si>
  <si>
    <t>N46</t>
  </si>
  <si>
    <t>N47</t>
  </si>
  <si>
    <t>R42</t>
  </si>
  <si>
    <t>T</t>
  </si>
  <si>
    <t>T-heat</t>
  </si>
  <si>
    <t>R46</t>
  </si>
  <si>
    <t>R47</t>
  </si>
  <si>
    <t>R48</t>
  </si>
  <si>
    <t>N48</t>
  </si>
  <si>
    <t>missing</t>
  </si>
  <si>
    <t>D-desiccation</t>
  </si>
  <si>
    <t>R50</t>
  </si>
  <si>
    <t>R78</t>
  </si>
  <si>
    <t>T55</t>
  </si>
  <si>
    <t>tank_6</t>
  </si>
  <si>
    <t>T-control</t>
  </si>
  <si>
    <t>T56</t>
  </si>
  <si>
    <t>T57</t>
  </si>
  <si>
    <t>T58</t>
  </si>
  <si>
    <t>T59</t>
  </si>
  <si>
    <t>T61</t>
  </si>
  <si>
    <t>T62</t>
  </si>
  <si>
    <t>X41</t>
  </si>
  <si>
    <t>X42</t>
  </si>
  <si>
    <t>X43</t>
  </si>
  <si>
    <t>X44</t>
  </si>
  <si>
    <t>X45</t>
  </si>
  <si>
    <t>X46</t>
  </si>
  <si>
    <t>X47</t>
  </si>
  <si>
    <t>X48</t>
  </si>
  <si>
    <t>N49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</si>
  <si>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</si>
  <si>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</si>
  <si>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</si>
  <si>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</si>
  <si>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</si>
  <si>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</si>
  <si>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</si>
  <si>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</si>
  <si>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</si>
  <si>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</si>
  <si>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R51</t>
  </si>
  <si>
    <t>T-desiccation</t>
  </si>
  <si>
    <t>R53</t>
  </si>
  <si>
    <t>R54</t>
  </si>
  <si>
    <t>R56</t>
  </si>
  <si>
    <t>R57</t>
  </si>
  <si>
    <t>R58</t>
  </si>
  <si>
    <t>R59</t>
  </si>
  <si>
    <t>R60</t>
  </si>
  <si>
    <t>R61</t>
  </si>
  <si>
    <t>R62</t>
  </si>
  <si>
    <t>heat</t>
  </si>
  <si>
    <t>CS activity mean</t>
  </si>
  <si>
    <t>D-heat-D-control</t>
  </si>
  <si>
    <t>T-control-D-control</t>
  </si>
  <si>
    <t>T-desiccation-D-control</t>
  </si>
  <si>
    <t>T-heat-D-control</t>
  </si>
  <si>
    <t>D-heat-D-desiccation</t>
  </si>
  <si>
    <t>T-control-D-desiccation</t>
  </si>
  <si>
    <t>T-desiccation-D-desiccation</t>
  </si>
  <si>
    <t>T-heat-D-desiccation</t>
  </si>
  <si>
    <t>T-control-D-heat</t>
  </si>
  <si>
    <t>T-desiccation-D-heat</t>
  </si>
  <si>
    <t>T-heat-D-heat</t>
  </si>
  <si>
    <t>T-desiccation-T-control</t>
  </si>
  <si>
    <t>T-heat-T-control</t>
  </si>
  <si>
    <t>T-heat-T-desiccation</t>
  </si>
  <si>
    <t>control</t>
  </si>
  <si>
    <t>MS</t>
  </si>
  <si>
    <t>Signif.</t>
  </si>
  <si>
    <t>codes:</t>
  </si>
  <si>
    <t>‘***’</t>
  </si>
  <si>
    <t>‘**’</t>
  </si>
  <si>
    <t>‘*’</t>
  </si>
  <si>
    <t>‘.’</t>
  </si>
  <si>
    <t>‘</t>
  </si>
  <si>
    <t>’</t>
  </si>
  <si>
    <t>SumSq</t>
  </si>
  <si>
    <t>MeanSq</t>
  </si>
  <si>
    <t>treatment</t>
  </si>
  <si>
    <t>(Intercept)</t>
  </si>
  <si>
    <t>*</t>
  </si>
  <si>
    <t>ploidy:heat</t>
  </si>
  <si>
    <r>
      <t>Table 4:</t>
    </r>
    <r>
      <rPr>
        <sz val="11"/>
        <color rgb="FF202124"/>
        <rFont val="Calibri"/>
        <family val="2"/>
        <scheme val="minor"/>
      </rPr>
      <t xml:space="preserve"> </t>
    </r>
    <r>
      <rPr>
        <i/>
        <sz val="11"/>
        <color rgb="FF202124"/>
        <rFont val="Calibri"/>
        <family val="2"/>
        <scheme val="minor"/>
      </rPr>
      <t xml:space="preserve">Cumulative Mortality. </t>
    </r>
    <r>
      <rPr>
        <sz val="11"/>
        <color rgb="FF202124"/>
        <rFont val="Calibri"/>
        <family val="2"/>
        <scheme val="minor"/>
      </rPr>
      <t>Mortality Data for all treatment groups where “D” represents diploids and “T” represents triploids. </t>
    </r>
  </si>
  <si>
    <t>start (n)</t>
  </si>
  <si>
    <t>end (n)</t>
  </si>
  <si>
    <t>% survival</t>
  </si>
  <si>
    <t>**</t>
  </si>
  <si>
    <t xml:space="preserve">A (BSA) </t>
  </si>
  <si>
    <t>DeltaOD</t>
  </si>
  <si>
    <t>nmol CS</t>
  </si>
  <si>
    <t>protein (ug/mL)</t>
  </si>
  <si>
    <t>P (mg/uL)</t>
  </si>
  <si>
    <t xml:space="preserve">CS_activity (nmol/mg/min) </t>
  </si>
  <si>
    <t>2n</t>
  </si>
  <si>
    <t>3n</t>
  </si>
  <si>
    <t>calc dry weight</t>
  </si>
  <si>
    <t xml:space="preserve">                CS_activity groups</t>
  </si>
  <si>
    <t>group</t>
  </si>
  <si>
    <t>CS average</t>
  </si>
  <si>
    <t>TukeyHSD(aov(small_model2))</t>
  </si>
  <si>
    <t xml:space="preserve">  Tukey multiple comparisons of means</t>
  </si>
  <si>
    <t xml:space="preserve">    95% family-wise confidence level</t>
  </si>
  <si>
    <t>Fit: aov(formula = small_model2)</t>
  </si>
  <si>
    <t>$stress</t>
  </si>
  <si>
    <t>desiccation-control</t>
  </si>
  <si>
    <t>heat-control</t>
  </si>
  <si>
    <t>heat-desiccation</t>
  </si>
  <si>
    <t xml:space="preserve">                      </t>
  </si>
  <si>
    <t>F value</t>
  </si>
  <si>
    <t>desiccation</t>
  </si>
  <si>
    <t>ploidy:desiccation</t>
  </si>
  <si>
    <t>.</t>
  </si>
  <si>
    <t>day_abs</t>
  </si>
  <si>
    <t>D-heat_only</t>
  </si>
  <si>
    <t>D-heat_desiccation</t>
  </si>
  <si>
    <t>T-heat_only</t>
  </si>
  <si>
    <t>T-heat_desiccation</t>
  </si>
  <si>
    <t>D-control death (d/n)</t>
  </si>
  <si>
    <t xml:space="preserve">D-heat death (d/n) </t>
  </si>
  <si>
    <t>D-desiccation death (d/n)</t>
  </si>
  <si>
    <t xml:space="preserve">T-control death (d/n) </t>
  </si>
  <si>
    <t xml:space="preserve">T-heat death (d/n) </t>
  </si>
  <si>
    <t xml:space="preserve">T-desiccation death (d/n) </t>
  </si>
  <si>
    <t xml:space="preserve">D-control Survival (1-d/n) </t>
  </si>
  <si>
    <t>D-heat Survival</t>
  </si>
  <si>
    <t>D-desiccation S</t>
  </si>
  <si>
    <t>T-control S</t>
  </si>
  <si>
    <t>T-heat S</t>
  </si>
  <si>
    <t>T-desiccation S</t>
  </si>
  <si>
    <t>P(D-control) survival</t>
  </si>
  <si>
    <t xml:space="preserve">P(D-heat) </t>
  </si>
  <si>
    <t>P(D-desiccation)</t>
  </si>
  <si>
    <t xml:space="preserve">P(T-control) </t>
  </si>
  <si>
    <t xml:space="preserve">P(T-heat) </t>
  </si>
  <si>
    <t xml:space="preserve">P(T-desiccation) </t>
  </si>
  <si>
    <t>Call:</t>
  </si>
  <si>
    <t>survdiff(formula = Surv(time, status) ~ trt, data = kaplan_mort)</t>
  </si>
  <si>
    <t xml:space="preserve"> Chisq= 21.8  on 2 degrees of freedom, p= 2e-05 </t>
  </si>
  <si>
    <t>trt=control</t>
  </si>
  <si>
    <t>trt=MS</t>
  </si>
  <si>
    <t>trt=SS</t>
  </si>
  <si>
    <t>N</t>
  </si>
  <si>
    <t>Observed</t>
  </si>
  <si>
    <t>Expected</t>
  </si>
  <si>
    <t>(O-E)^2/E</t>
  </si>
  <si>
    <t>(O-E)^2/V</t>
  </si>
  <si>
    <t>survdiff(formula = Surv(time, status) ~ combo, data = kaplan_mort)</t>
  </si>
  <si>
    <t xml:space="preserve"> Chisq= 35.8  on 5 degrees of freedom, p= 1e-06 </t>
  </si>
  <si>
    <t>combo=D-MS</t>
  </si>
  <si>
    <t>combo=D-SS</t>
  </si>
  <si>
    <t>combo=T-MS</t>
  </si>
  <si>
    <t>D-heat+desiccation</t>
  </si>
  <si>
    <t>T-heat+desiccation</t>
  </si>
  <si>
    <t>survdiff(formula = Surv(time, status) ~ ploidy, data = kaplan_mort)</t>
  </si>
  <si>
    <t xml:space="preserve"> Chisq= 5.7  on 1 degrees of freedom, p= 0.02 </t>
  </si>
  <si>
    <t>ploidy=D</t>
  </si>
  <si>
    <t>ploidy=T</t>
  </si>
  <si>
    <t>survdiff(formula = Surv(time, status) ~ combo, data = desiccation_only)</t>
  </si>
  <si>
    <t xml:space="preserve"> Chisq= 3.4  on 1 degrees of freedom, p= 0.06</t>
  </si>
  <si>
    <t xml:space="preserve">NOT SIGNIFICANT </t>
  </si>
  <si>
    <t xml:space="preserve"> Chisq= 7  on 1 degrees of freedom, p= 0.008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</si>
</sst>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i/>
      <sz val="11"/>
      <color rgb="FF20212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1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2" fillId="0" borderId="0" xfId="0" applyFont="1"/>
    <xf numFmtId="0" fontId="3" fillId="0" borderId="0" xfId="0" applyFont="1"/>
    <xf numFmtId="0" fontId="2" fillId="0" borderId="4" xfId="0" applyFont="1" applyBorder="1"/>
    <xf numFmtId="0" fontId="3" fillId="0" borderId="3" xfId="0" applyFont="1" applyBorder="1"/>
    <xf numFmtId="165" fontId="0" fillId="0" borderId="0" xfId="0" applyNumberFormat="1"/>
    <xf numFmtId="164" fontId="0" fillId="2" borderId="0" xfId="0" applyNumberFormat="1" applyFill="1"/>
    <xf numFmtId="165" fontId="0" fillId="2" borderId="0" xfId="0" applyNumberFormat="1" applyFill="1"/>
    <xf numFmtId="0" fontId="0" fillId="0" borderId="4" xfId="0" applyBorder="1"/>
    <xf numFmtId="0" fontId="1" fillId="0" borderId="4" xfId="0" applyFont="1" applyBorder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0" xfId="0" applyFont="1"/>
    <xf numFmtId="14" fontId="6" fillId="0" borderId="0" xfId="0" applyNumberFormat="1" applyFont="1"/>
    <xf numFmtId="165" fontId="6" fillId="0" borderId="0" xfId="0" applyNumberFormat="1" applyFont="1"/>
    <xf numFmtId="11" fontId="6" fillId="0" borderId="0" xfId="0" applyNumberFormat="1" applyFont="1"/>
    <xf numFmtId="0" fontId="5" fillId="0" borderId="4" xfId="0" applyFont="1" applyBorder="1"/>
    <xf numFmtId="164" fontId="6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0" fillId="0" borderId="0" xfId="0" applyBorder="1"/>
    <xf numFmtId="0" fontId="5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8640-8DB8-374D-A2C7-BE58DA105CC7}">
  <dimension ref="A1:W10"/>
  <sheetViews>
    <sheetView zoomScale="120" zoomScaleNormal="120" workbookViewId="0">
      <selection activeCell="J23" sqref="J23"/>
    </sheetView>
  </sheetViews>
  <sheetFormatPr baseColWidth="10" defaultRowHeight="16" x14ac:dyDescent="0.2"/>
  <cols>
    <col min="1" max="1" width="13.5" customWidth="1"/>
    <col min="16" max="16" width="14.1640625" customWidth="1"/>
  </cols>
  <sheetData>
    <row r="1" spans="1:23" ht="17" thickBot="1" x14ac:dyDescent="0.25">
      <c r="A1" s="3"/>
      <c r="B1" s="3" t="s">
        <v>0</v>
      </c>
      <c r="C1" s="3" t="s">
        <v>1</v>
      </c>
      <c r="D1" s="3" t="s">
        <v>2</v>
      </c>
      <c r="E1" s="3" t="s">
        <v>12</v>
      </c>
      <c r="F1" s="3" t="s">
        <v>3</v>
      </c>
      <c r="G1" s="3"/>
      <c r="K1" s="4" t="s">
        <v>0</v>
      </c>
      <c r="L1" s="4" t="s">
        <v>144</v>
      </c>
      <c r="M1" s="4" t="s">
        <v>145</v>
      </c>
      <c r="N1" s="4" t="s">
        <v>12</v>
      </c>
      <c r="O1" s="4" t="s">
        <v>3</v>
      </c>
    </row>
    <row r="2" spans="1:23" x14ac:dyDescent="0.2">
      <c r="A2" s="3" t="s">
        <v>13</v>
      </c>
      <c r="B2" s="3">
        <v>1</v>
      </c>
      <c r="C2" s="3">
        <v>1.36</v>
      </c>
      <c r="D2" s="3">
        <v>1.3640000000000001</v>
      </c>
      <c r="E2" s="3">
        <v>1.4910000000000001</v>
      </c>
      <c r="F2" s="3">
        <v>0.227219</v>
      </c>
      <c r="G2" s="3"/>
      <c r="J2" s="5" t="s">
        <v>13</v>
      </c>
      <c r="K2">
        <v>1</v>
      </c>
      <c r="L2">
        <v>1.36</v>
      </c>
      <c r="M2">
        <v>1.365</v>
      </c>
      <c r="N2">
        <v>1.4910000000000001</v>
      </c>
      <c r="O2">
        <v>0.22716</v>
      </c>
    </row>
    <row r="3" spans="1:23" x14ac:dyDescent="0.2">
      <c r="A3" s="3" t="s">
        <v>5</v>
      </c>
      <c r="B3" s="3">
        <v>1</v>
      </c>
      <c r="C3" s="3">
        <v>0.19</v>
      </c>
      <c r="D3" s="3">
        <v>0.185</v>
      </c>
      <c r="E3" s="3">
        <v>0.20200000000000001</v>
      </c>
      <c r="F3" s="3">
        <v>0.65467500000000001</v>
      </c>
      <c r="G3" s="3"/>
      <c r="J3" s="5" t="s">
        <v>5</v>
      </c>
      <c r="K3">
        <v>1</v>
      </c>
      <c r="L3">
        <v>0.19</v>
      </c>
      <c r="M3">
        <v>0.185</v>
      </c>
      <c r="N3">
        <v>0.20200000000000001</v>
      </c>
      <c r="O3">
        <v>0.65473400000000004</v>
      </c>
    </row>
    <row r="4" spans="1:23" x14ac:dyDescent="0.2">
      <c r="A4" s="3" t="s">
        <v>14</v>
      </c>
      <c r="B4" s="3">
        <v>4</v>
      </c>
      <c r="C4" s="3">
        <v>24.01</v>
      </c>
      <c r="D4" s="3">
        <v>6.0030000000000001</v>
      </c>
      <c r="E4" s="3">
        <v>6.5590000000000002</v>
      </c>
      <c r="F4" s="3">
        <v>2.1100000000000001E-4</v>
      </c>
      <c r="G4" s="3" t="s">
        <v>7</v>
      </c>
      <c r="J4" s="5" t="s">
        <v>146</v>
      </c>
      <c r="K4">
        <v>4</v>
      </c>
      <c r="L4">
        <v>24.01</v>
      </c>
      <c r="M4">
        <v>6.0030000000000001</v>
      </c>
      <c r="N4">
        <v>6.5590000000000002</v>
      </c>
      <c r="O4">
        <v>2.1100000000000001E-4</v>
      </c>
      <c r="P4" t="s">
        <v>7</v>
      </c>
    </row>
    <row r="5" spans="1:23" x14ac:dyDescent="0.2">
      <c r="A5" s="3" t="s">
        <v>8</v>
      </c>
      <c r="B5" s="3">
        <v>1</v>
      </c>
      <c r="C5" s="3">
        <v>0.11</v>
      </c>
      <c r="D5" s="3">
        <v>0.107</v>
      </c>
      <c r="E5" s="3">
        <v>0.11700000000000001</v>
      </c>
      <c r="F5" s="3">
        <v>0.733931</v>
      </c>
      <c r="G5" s="3"/>
      <c r="J5" s="5" t="s">
        <v>8</v>
      </c>
      <c r="K5">
        <v>1</v>
      </c>
      <c r="L5">
        <v>0.11</v>
      </c>
      <c r="M5">
        <v>0.107</v>
      </c>
      <c r="N5">
        <v>0.11700000000000001</v>
      </c>
      <c r="O5">
        <v>0.73392900000000005</v>
      </c>
    </row>
    <row r="6" spans="1:23" x14ac:dyDescent="0.2">
      <c r="A6" s="3" t="s">
        <v>15</v>
      </c>
      <c r="B6" s="3">
        <v>1</v>
      </c>
      <c r="C6" s="3">
        <v>0.02</v>
      </c>
      <c r="D6" s="3">
        <v>0.02</v>
      </c>
      <c r="E6" s="3">
        <v>2.1999999999999999E-2</v>
      </c>
      <c r="F6" s="3">
        <v>0.88174399999999997</v>
      </c>
      <c r="G6" s="3"/>
      <c r="J6" s="5" t="s">
        <v>9</v>
      </c>
      <c r="K6">
        <v>1</v>
      </c>
      <c r="L6">
        <v>0.02</v>
      </c>
      <c r="M6">
        <v>0.02</v>
      </c>
      <c r="N6">
        <v>2.1999999999999999E-2</v>
      </c>
      <c r="O6">
        <v>0.88176299999999996</v>
      </c>
    </row>
    <row r="7" spans="1:23" x14ac:dyDescent="0.2">
      <c r="A7" s="3" t="s">
        <v>16</v>
      </c>
      <c r="B7" s="3">
        <v>1</v>
      </c>
      <c r="C7" s="3">
        <v>0.57999999999999996</v>
      </c>
      <c r="D7" s="3">
        <v>0.58199999999999996</v>
      </c>
      <c r="E7" s="3">
        <v>0.63600000000000001</v>
      </c>
      <c r="F7" s="3">
        <v>0.42845</v>
      </c>
      <c r="G7" s="3"/>
      <c r="J7" s="5" t="s">
        <v>10</v>
      </c>
      <c r="K7">
        <v>1</v>
      </c>
      <c r="L7">
        <v>0.57999999999999996</v>
      </c>
      <c r="M7">
        <v>0.58199999999999996</v>
      </c>
      <c r="N7">
        <v>0.63600000000000001</v>
      </c>
      <c r="O7">
        <v>0.42847000000000002</v>
      </c>
    </row>
    <row r="8" spans="1:23" x14ac:dyDescent="0.2">
      <c r="A8" s="3" t="s">
        <v>11</v>
      </c>
      <c r="B8" s="3">
        <v>56</v>
      </c>
      <c r="C8" s="3">
        <v>51.26</v>
      </c>
      <c r="D8" s="3">
        <v>0.91500000000000004</v>
      </c>
      <c r="E8" s="3"/>
      <c r="F8" s="3"/>
      <c r="G8" s="3"/>
      <c r="J8" s="5" t="s">
        <v>11</v>
      </c>
      <c r="K8">
        <v>56</v>
      </c>
      <c r="L8">
        <v>51.26</v>
      </c>
      <c r="M8">
        <v>0.91500000000000004</v>
      </c>
    </row>
    <row r="10" spans="1:23" x14ac:dyDescent="0.2">
      <c r="T10">
        <v>0.1</v>
      </c>
      <c r="U10" t="s">
        <v>142</v>
      </c>
      <c r="V10" t="s">
        <v>143</v>
      </c>
      <c r="W10">
        <v>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7EFA-6ED0-B04B-8C85-C9EF04D50C26}">
  <dimension ref="A1:J20"/>
  <sheetViews>
    <sheetView workbookViewId="0">
      <selection activeCell="A13" sqref="A13:G19"/>
    </sheetView>
  </sheetViews>
  <sheetFormatPr baseColWidth="10" defaultRowHeight="16" x14ac:dyDescent="0.2"/>
  <cols>
    <col min="1" max="1" width="15.5" customWidth="1"/>
    <col min="2" max="2" width="16.6640625" customWidth="1"/>
  </cols>
  <sheetData>
    <row r="1" spans="1:10" x14ac:dyDescent="0.2">
      <c r="A1" s="3"/>
      <c r="B1" s="3" t="s">
        <v>119</v>
      </c>
      <c r="C1" s="3" t="s">
        <v>23</v>
      </c>
    </row>
    <row r="2" spans="1:10" x14ac:dyDescent="0.2">
      <c r="A2" s="3" t="s">
        <v>76</v>
      </c>
      <c r="B2" s="3">
        <v>3.6446890000000001</v>
      </c>
      <c r="C2" s="3" t="s">
        <v>24</v>
      </c>
    </row>
    <row r="3" spans="1:10" x14ac:dyDescent="0.2">
      <c r="A3" s="3" t="s">
        <v>108</v>
      </c>
      <c r="B3" s="3">
        <v>3.234372</v>
      </c>
      <c r="C3" s="3" t="s">
        <v>25</v>
      </c>
    </row>
    <row r="4" spans="1:10" ht="17" thickBot="1" x14ac:dyDescent="0.25">
      <c r="A4" s="3" t="s">
        <v>50</v>
      </c>
      <c r="B4" s="3">
        <v>2.1374789999999999</v>
      </c>
      <c r="C4" s="3" t="s">
        <v>26</v>
      </c>
      <c r="F4" s="7" t="s">
        <v>144</v>
      </c>
      <c r="G4" s="7" t="s">
        <v>0</v>
      </c>
      <c r="H4" s="7" t="s">
        <v>12</v>
      </c>
      <c r="I4" s="7" t="s">
        <v>3</v>
      </c>
    </row>
    <row r="5" spans="1:10" x14ac:dyDescent="0.2">
      <c r="A5" s="3" t="s">
        <v>81</v>
      </c>
      <c r="B5" s="3">
        <v>1.882126</v>
      </c>
      <c r="C5" s="3" t="s">
        <v>27</v>
      </c>
      <c r="E5" s="8" t="s">
        <v>147</v>
      </c>
      <c r="F5">
        <v>145.001</v>
      </c>
      <c r="G5">
        <v>1</v>
      </c>
      <c r="H5">
        <v>129.12549999999999</v>
      </c>
      <c r="I5" s="6">
        <v>2E-16</v>
      </c>
      <c r="J5" t="s">
        <v>7</v>
      </c>
    </row>
    <row r="6" spans="1:10" x14ac:dyDescent="0.2">
      <c r="A6" s="3" t="s">
        <v>70</v>
      </c>
      <c r="B6" s="3">
        <v>1.8451649999999999</v>
      </c>
      <c r="C6" s="3" t="s">
        <v>27</v>
      </c>
      <c r="E6" s="8" t="s">
        <v>5</v>
      </c>
      <c r="F6">
        <v>1.0469999999999999</v>
      </c>
      <c r="G6">
        <v>1</v>
      </c>
      <c r="H6">
        <v>0.93279999999999996</v>
      </c>
      <c r="I6">
        <v>0.33789999999999998</v>
      </c>
    </row>
    <row r="7" spans="1:10" x14ac:dyDescent="0.2">
      <c r="A7" s="3" t="s">
        <v>42</v>
      </c>
      <c r="B7" s="3">
        <v>1.7961910000000001</v>
      </c>
      <c r="C7" s="3" t="s">
        <v>27</v>
      </c>
      <c r="E7" s="8" t="s">
        <v>118</v>
      </c>
      <c r="F7">
        <v>7.4850000000000003</v>
      </c>
      <c r="G7">
        <v>1</v>
      </c>
      <c r="H7">
        <v>6.6656000000000004</v>
      </c>
      <c r="I7">
        <v>1.221E-2</v>
      </c>
      <c r="J7" t="s">
        <v>148</v>
      </c>
    </row>
    <row r="8" spans="1:10" x14ac:dyDescent="0.2">
      <c r="E8" s="8" t="s">
        <v>149</v>
      </c>
      <c r="F8">
        <v>2.802</v>
      </c>
      <c r="G8">
        <v>1</v>
      </c>
      <c r="H8">
        <v>2.4948000000000001</v>
      </c>
      <c r="I8">
        <v>0.11931</v>
      </c>
    </row>
    <row r="9" spans="1:10" x14ac:dyDescent="0.2">
      <c r="E9" s="8" t="s">
        <v>11</v>
      </c>
      <c r="F9">
        <v>69.623000000000005</v>
      </c>
      <c r="G9">
        <v>62</v>
      </c>
    </row>
    <row r="13" spans="1:10" ht="17" thickBot="1" x14ac:dyDescent="0.25">
      <c r="A13" s="21"/>
      <c r="B13" s="19" t="s">
        <v>0</v>
      </c>
      <c r="C13" s="19" t="s">
        <v>1</v>
      </c>
      <c r="D13" s="19" t="s">
        <v>2</v>
      </c>
      <c r="E13" s="19" t="s">
        <v>176</v>
      </c>
      <c r="F13" s="19" t="s">
        <v>3</v>
      </c>
      <c r="G13" s="21"/>
    </row>
    <row r="14" spans="1:10" x14ac:dyDescent="0.2">
      <c r="A14" s="20" t="s">
        <v>5</v>
      </c>
      <c r="B14" s="21">
        <v>1</v>
      </c>
      <c r="C14" s="21">
        <v>0.34</v>
      </c>
      <c r="D14" s="21">
        <v>0.33700000000000002</v>
      </c>
      <c r="E14" s="21">
        <v>0.38500000000000001</v>
      </c>
      <c r="F14" s="21">
        <v>0.53710000000000002</v>
      </c>
      <c r="G14" s="21"/>
    </row>
    <row r="15" spans="1:10" x14ac:dyDescent="0.2">
      <c r="A15" s="20" t="s">
        <v>118</v>
      </c>
      <c r="B15" s="21">
        <v>1</v>
      </c>
      <c r="C15" s="21">
        <v>4.7699999999999996</v>
      </c>
      <c r="D15" s="21">
        <v>4.7670000000000003</v>
      </c>
      <c r="E15" s="21">
        <v>5.4489999999999998</v>
      </c>
      <c r="F15" s="21">
        <v>2.29E-2</v>
      </c>
      <c r="G15" s="21" t="s">
        <v>148</v>
      </c>
    </row>
    <row r="16" spans="1:10" x14ac:dyDescent="0.2">
      <c r="A16" s="20" t="s">
        <v>177</v>
      </c>
      <c r="B16" s="21">
        <v>1</v>
      </c>
      <c r="C16" s="21">
        <v>17.07</v>
      </c>
      <c r="D16" s="21">
        <v>17.074999999999999</v>
      </c>
      <c r="E16" s="21">
        <v>19.516999999999999</v>
      </c>
      <c r="F16" s="24">
        <v>4.2400000000000001E-5</v>
      </c>
      <c r="G16" s="21" t="s">
        <v>7</v>
      </c>
    </row>
    <row r="17" spans="1:7" x14ac:dyDescent="0.2">
      <c r="A17" s="20" t="s">
        <v>149</v>
      </c>
      <c r="B17" s="21">
        <v>1</v>
      </c>
      <c r="C17" s="21">
        <v>2.63</v>
      </c>
      <c r="D17" s="21">
        <v>2.6269999999999998</v>
      </c>
      <c r="E17" s="21">
        <v>3.0030000000000001</v>
      </c>
      <c r="F17" s="21">
        <v>8.8200000000000001E-2</v>
      </c>
      <c r="G17" s="21" t="s">
        <v>179</v>
      </c>
    </row>
    <row r="18" spans="1:7" x14ac:dyDescent="0.2">
      <c r="A18" s="20" t="s">
        <v>178</v>
      </c>
      <c r="B18" s="21">
        <v>1</v>
      </c>
      <c r="C18" s="21">
        <v>0.23</v>
      </c>
      <c r="D18" s="21">
        <v>0.23200000000000001</v>
      </c>
      <c r="E18" s="21">
        <v>0.26500000000000001</v>
      </c>
      <c r="F18" s="21">
        <v>0.60880000000000001</v>
      </c>
      <c r="G18" s="21"/>
    </row>
    <row r="19" spans="1:7" x14ac:dyDescent="0.2">
      <c r="A19" s="20" t="s">
        <v>11</v>
      </c>
      <c r="B19" s="21">
        <v>60</v>
      </c>
      <c r="C19" s="21">
        <v>52.49</v>
      </c>
      <c r="D19" s="21">
        <v>0.875</v>
      </c>
      <c r="E19" s="21"/>
      <c r="F19" s="21"/>
      <c r="G19" s="21"/>
    </row>
    <row r="20" spans="1:7" x14ac:dyDescent="0.2">
      <c r="A20" t="s">
        <v>175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A17A-B58B-354B-9551-A6F4FBD6E675}">
  <dimension ref="A1:N18"/>
  <sheetViews>
    <sheetView workbookViewId="0">
      <selection activeCell="A20" sqref="A20"/>
    </sheetView>
  </sheetViews>
  <sheetFormatPr baseColWidth="10" defaultRowHeight="16" x14ac:dyDescent="0.2"/>
  <cols>
    <col min="1" max="1" width="23.33203125" style="5" customWidth="1"/>
    <col min="2" max="4" width="12.33203125" bestFit="1" customWidth="1"/>
    <col min="5" max="5" width="11.6640625" bestFit="1" customWidth="1"/>
  </cols>
  <sheetData>
    <row r="1" spans="1:6" s="16" customFormat="1" x14ac:dyDescent="0.2">
      <c r="A1"/>
      <c r="B1" s="17" t="s">
        <v>17</v>
      </c>
      <c r="C1" s="17" t="s">
        <v>18</v>
      </c>
      <c r="D1" s="17" t="s">
        <v>19</v>
      </c>
      <c r="E1" s="17" t="s">
        <v>20</v>
      </c>
      <c r="F1"/>
    </row>
    <row r="2" spans="1:6" x14ac:dyDescent="0.2">
      <c r="A2" s="8" t="s">
        <v>21</v>
      </c>
      <c r="B2" s="13">
        <v>1.8484979399999999</v>
      </c>
      <c r="C2" s="13">
        <v>0.64010098000000004</v>
      </c>
      <c r="D2" s="13">
        <v>3.0568949000000001</v>
      </c>
      <c r="E2" s="14">
        <v>4.3525809999999998E-4</v>
      </c>
      <c r="F2" t="s">
        <v>7</v>
      </c>
    </row>
    <row r="3" spans="1:6" x14ac:dyDescent="0.2">
      <c r="A3" s="8" t="s">
        <v>125</v>
      </c>
      <c r="B3" s="13">
        <v>-1.76256254</v>
      </c>
      <c r="C3" s="13">
        <v>-2.9981178800000001</v>
      </c>
      <c r="D3" s="13">
        <v>-0.52700720000000001</v>
      </c>
      <c r="E3" s="15">
        <v>1.2159575000000001E-3</v>
      </c>
      <c r="F3" t="s">
        <v>154</v>
      </c>
    </row>
    <row r="4" spans="1:6" x14ac:dyDescent="0.2">
      <c r="A4" s="8" t="s">
        <v>127</v>
      </c>
      <c r="B4" s="13">
        <v>-1.79952366</v>
      </c>
      <c r="C4" s="13">
        <v>-3.0669010800000001</v>
      </c>
      <c r="D4" s="13">
        <v>-0.53214623000000005</v>
      </c>
      <c r="E4" s="15">
        <v>1.2974715000000001E-3</v>
      </c>
      <c r="F4" t="s">
        <v>154</v>
      </c>
    </row>
    <row r="5" spans="1:6" x14ac:dyDescent="0.2">
      <c r="A5" s="8" t="s">
        <v>124</v>
      </c>
      <c r="B5" s="13">
        <v>-1.5072104399999999</v>
      </c>
      <c r="C5" s="13">
        <v>-2.74276578</v>
      </c>
      <c r="D5" s="13">
        <v>-0.27165509999999998</v>
      </c>
      <c r="E5" s="15">
        <v>8.3259999000000005E-3</v>
      </c>
      <c r="F5" t="s">
        <v>148</v>
      </c>
    </row>
    <row r="6" spans="1:6" x14ac:dyDescent="0.2">
      <c r="A6" s="8" t="s">
        <v>122</v>
      </c>
      <c r="B6" s="13">
        <v>1.4381808199999999</v>
      </c>
      <c r="C6" s="13">
        <v>0.17080339</v>
      </c>
      <c r="D6" s="13">
        <v>2.7055582399999998</v>
      </c>
      <c r="E6" s="15">
        <v>1.7263278399999998E-2</v>
      </c>
      <c r="F6" t="s">
        <v>148</v>
      </c>
    </row>
    <row r="7" spans="1:6" x14ac:dyDescent="0.2">
      <c r="A7" s="8" t="s">
        <v>133</v>
      </c>
      <c r="B7" s="13">
        <v>-1.3892065300000001</v>
      </c>
      <c r="C7" s="13">
        <v>-2.7129390799999999</v>
      </c>
      <c r="D7" s="13">
        <v>-6.5473989999999996E-2</v>
      </c>
      <c r="E7" s="15">
        <v>3.4321334500000002E-2</v>
      </c>
      <c r="F7" t="s">
        <v>148</v>
      </c>
    </row>
    <row r="8" spans="1:6" x14ac:dyDescent="0.2">
      <c r="A8" s="8" t="s">
        <v>131</v>
      </c>
      <c r="B8" s="13">
        <v>1.35224542</v>
      </c>
      <c r="C8" s="13">
        <v>5.8947579999999999E-2</v>
      </c>
      <c r="D8" s="13">
        <v>2.6455432700000001</v>
      </c>
      <c r="E8" s="15">
        <v>3.5371715499999998E-2</v>
      </c>
      <c r="F8" t="s">
        <v>148</v>
      </c>
    </row>
    <row r="9" spans="1:6" x14ac:dyDescent="0.2">
      <c r="A9" s="8" t="s">
        <v>129</v>
      </c>
      <c r="B9" s="13">
        <v>1.0968933199999999</v>
      </c>
      <c r="C9" s="13">
        <v>-0.19640452999999999</v>
      </c>
      <c r="D9" s="13">
        <v>2.39019117</v>
      </c>
      <c r="E9" s="13">
        <v>0.14145960869999999</v>
      </c>
    </row>
    <row r="10" spans="1:6" x14ac:dyDescent="0.2">
      <c r="A10" s="8" t="s">
        <v>126</v>
      </c>
      <c r="B10" s="13">
        <v>-0.41031711999999998</v>
      </c>
      <c r="C10" s="13">
        <v>-1.6776945400000001</v>
      </c>
      <c r="D10" s="13">
        <v>0.8570603</v>
      </c>
      <c r="E10" s="13">
        <v>0.93065653390000003</v>
      </c>
    </row>
    <row r="11" spans="1:6" x14ac:dyDescent="0.2">
      <c r="A11" s="8" t="s">
        <v>120</v>
      </c>
      <c r="B11" s="13">
        <v>0.34128750000000002</v>
      </c>
      <c r="C11" s="13">
        <v>-0.89426784000000004</v>
      </c>
      <c r="D11" s="13">
        <v>1.5768428400000001</v>
      </c>
      <c r="E11" s="13">
        <v>0.96401367439999996</v>
      </c>
    </row>
    <row r="12" spans="1:6" x14ac:dyDescent="0.2">
      <c r="A12" s="8" t="s">
        <v>130</v>
      </c>
      <c r="B12" s="13">
        <v>-0.29231321999999998</v>
      </c>
      <c r="C12" s="13">
        <v>-1.58561106</v>
      </c>
      <c r="D12" s="13">
        <v>1.00098463</v>
      </c>
      <c r="E12" s="13">
        <v>0.98504591959999999</v>
      </c>
    </row>
    <row r="13" spans="1:6" x14ac:dyDescent="0.2">
      <c r="A13" s="8" t="s">
        <v>128</v>
      </c>
      <c r="B13" s="13">
        <v>-0.25535210000000003</v>
      </c>
      <c r="C13" s="13">
        <v>-1.51748156</v>
      </c>
      <c r="D13" s="13">
        <v>1.0067773600000001</v>
      </c>
      <c r="E13" s="13">
        <v>0.99095680460000002</v>
      </c>
    </row>
    <row r="14" spans="1:6" x14ac:dyDescent="0.2">
      <c r="A14" s="8" t="s">
        <v>121</v>
      </c>
      <c r="B14" s="13">
        <v>8.593539E-2</v>
      </c>
      <c r="C14" s="13">
        <v>-1.1496199499999999</v>
      </c>
      <c r="D14" s="13">
        <v>1.3214907300000001</v>
      </c>
      <c r="E14" s="1">
        <v>0.99994777069999996</v>
      </c>
    </row>
    <row r="15" spans="1:6" x14ac:dyDescent="0.2">
      <c r="A15" s="8" t="s">
        <v>123</v>
      </c>
      <c r="B15" s="13">
        <v>4.8974280000000002E-2</v>
      </c>
      <c r="C15" s="13">
        <v>-1.2184031399999999</v>
      </c>
      <c r="D15" s="13">
        <v>1.3163517</v>
      </c>
      <c r="E15" s="1">
        <v>0.99999718660000003</v>
      </c>
    </row>
    <row r="16" spans="1:6" x14ac:dyDescent="0.2">
      <c r="A16" s="8" t="s">
        <v>132</v>
      </c>
      <c r="B16" s="13">
        <v>-3.6961109999999998E-2</v>
      </c>
      <c r="C16" s="13">
        <v>-1.3302589600000001</v>
      </c>
      <c r="D16" s="13">
        <v>1.2563367299999999</v>
      </c>
      <c r="E16" s="1">
        <v>0.99999937530000005</v>
      </c>
    </row>
    <row r="17" spans="1:14" x14ac:dyDescent="0.2">
      <c r="A17"/>
    </row>
    <row r="18" spans="1:14" x14ac:dyDescent="0.2">
      <c r="A18" s="5" t="s">
        <v>136</v>
      </c>
      <c r="B18" t="s">
        <v>137</v>
      </c>
      <c r="C18">
        <v>0</v>
      </c>
      <c r="D18" t="s">
        <v>138</v>
      </c>
      <c r="E18">
        <v>1E-3</v>
      </c>
      <c r="F18" t="s">
        <v>139</v>
      </c>
      <c r="G18">
        <v>0.01</v>
      </c>
      <c r="H18" t="s">
        <v>140</v>
      </c>
      <c r="I18">
        <v>0.05</v>
      </c>
      <c r="J18" t="s">
        <v>141</v>
      </c>
      <c r="K18">
        <v>0.1</v>
      </c>
      <c r="L18" t="s">
        <v>142</v>
      </c>
      <c r="M18" t="s">
        <v>143</v>
      </c>
      <c r="N18">
        <v>1</v>
      </c>
    </row>
  </sheetData>
  <sortState xmlns:xlrd2="http://schemas.microsoft.com/office/spreadsheetml/2017/richdata2" ref="A2:E16">
    <sortCondition ref="E2:E16"/>
  </sortState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4E37-0948-024D-8E60-29472B17A128}">
  <dimension ref="A1:C8"/>
  <sheetViews>
    <sheetView workbookViewId="0">
      <selection activeCell="A10" sqref="A10"/>
    </sheetView>
  </sheetViews>
  <sheetFormatPr baseColWidth="10" defaultRowHeight="16" x14ac:dyDescent="0.2"/>
  <cols>
    <col min="1" max="1" width="20.33203125" customWidth="1"/>
  </cols>
  <sheetData>
    <row r="1" spans="1:3" x14ac:dyDescent="0.2">
      <c r="A1" t="s">
        <v>164</v>
      </c>
    </row>
    <row r="2" spans="1:3" x14ac:dyDescent="0.2">
      <c r="A2" s="21"/>
      <c r="B2" s="25" t="s">
        <v>166</v>
      </c>
      <c r="C2" s="25" t="s">
        <v>165</v>
      </c>
    </row>
    <row r="3" spans="1:3" x14ac:dyDescent="0.2">
      <c r="A3" s="20" t="s">
        <v>76</v>
      </c>
      <c r="B3" s="21">
        <v>3.6446890000000001</v>
      </c>
      <c r="C3" s="21" t="s">
        <v>24</v>
      </c>
    </row>
    <row r="4" spans="1:3" x14ac:dyDescent="0.2">
      <c r="A4" s="20" t="s">
        <v>108</v>
      </c>
      <c r="B4" s="21">
        <v>3.234372</v>
      </c>
      <c r="C4" s="21" t="s">
        <v>25</v>
      </c>
    </row>
    <row r="5" spans="1:3" x14ac:dyDescent="0.2">
      <c r="A5" s="20" t="s">
        <v>50</v>
      </c>
      <c r="B5" s="21">
        <v>2.1374789999999999</v>
      </c>
      <c r="C5" s="21" t="s">
        <v>26</v>
      </c>
    </row>
    <row r="6" spans="1:3" x14ac:dyDescent="0.2">
      <c r="A6" s="20" t="s">
        <v>81</v>
      </c>
      <c r="B6" s="21">
        <v>1.882126</v>
      </c>
      <c r="C6" s="21" t="s">
        <v>27</v>
      </c>
    </row>
    <row r="7" spans="1:3" x14ac:dyDescent="0.2">
      <c r="A7" s="20" t="s">
        <v>70</v>
      </c>
      <c r="B7" s="21">
        <v>1.8451649999999999</v>
      </c>
      <c r="C7" s="21" t="s">
        <v>27</v>
      </c>
    </row>
    <row r="8" spans="1:3" x14ac:dyDescent="0.2">
      <c r="A8" s="20" t="s">
        <v>42</v>
      </c>
      <c r="B8" s="21">
        <v>1.7961910000000001</v>
      </c>
      <c r="C8" s="21" t="s">
        <v>27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07B6-9B65-6B46-B57D-EBF658B3C051}">
  <dimension ref="A1:V125"/>
  <sheetViews>
    <sheetView zoomScaleNormal="100" workbookViewId="0">
      <selection activeCell="Q66" sqref="Q66"/>
    </sheetView>
  </sheetViews>
  <sheetFormatPr baseColWidth="10" defaultRowHeight="16" x14ac:dyDescent="0.2"/>
  <cols>
    <col min="9" max="9" width="12.5" customWidth="1"/>
    <col min="10" max="10" width="13.5" customWidth="1"/>
    <col min="11" max="11" width="14.33203125" customWidth="1"/>
  </cols>
  <sheetData>
    <row r="1" spans="1:22" x14ac:dyDescent="0.2">
      <c r="B1" t="s">
        <v>28</v>
      </c>
      <c r="C1" t="s">
        <v>5</v>
      </c>
      <c r="D1" t="s">
        <v>8</v>
      </c>
      <c r="E1" t="s">
        <v>29</v>
      </c>
      <c r="F1" t="s">
        <v>30</v>
      </c>
      <c r="G1" t="s">
        <v>31</v>
      </c>
      <c r="H1" t="s">
        <v>32</v>
      </c>
      <c r="I1" t="s">
        <v>9</v>
      </c>
      <c r="J1" t="s">
        <v>10</v>
      </c>
      <c r="K1" t="s">
        <v>33</v>
      </c>
      <c r="L1" t="s">
        <v>6</v>
      </c>
      <c r="M1" t="s">
        <v>34</v>
      </c>
      <c r="N1" t="s">
        <v>35</v>
      </c>
      <c r="O1" t="s">
        <v>36</v>
      </c>
      <c r="P1" t="s">
        <v>37</v>
      </c>
      <c r="Q1" t="s">
        <v>4</v>
      </c>
      <c r="R1" t="s">
        <v>13</v>
      </c>
      <c r="S1" t="s">
        <v>38</v>
      </c>
      <c r="T1" t="s">
        <v>22</v>
      </c>
      <c r="U1" t="s">
        <v>118</v>
      </c>
      <c r="V1" t="s">
        <v>135</v>
      </c>
    </row>
    <row r="2" spans="1:22" x14ac:dyDescent="0.2">
      <c r="A2">
        <v>1</v>
      </c>
      <c r="B2" t="s">
        <v>39</v>
      </c>
      <c r="C2" t="s">
        <v>40</v>
      </c>
      <c r="D2" t="s">
        <v>41</v>
      </c>
      <c r="E2">
        <v>1</v>
      </c>
      <c r="F2">
        <v>83</v>
      </c>
      <c r="G2">
        <v>60</v>
      </c>
      <c r="H2">
        <v>29</v>
      </c>
      <c r="I2" s="2">
        <v>44389</v>
      </c>
      <c r="J2">
        <v>75618</v>
      </c>
      <c r="K2">
        <v>3.4843199999999999</v>
      </c>
      <c r="L2" t="s">
        <v>42</v>
      </c>
      <c r="M2" s="1">
        <v>0.14799999999999999</v>
      </c>
      <c r="N2" s="1">
        <v>0.165333333333333</v>
      </c>
      <c r="O2" s="1">
        <v>1.7333333333333301E-2</v>
      </c>
      <c r="P2" s="1">
        <v>2.7719999999999998</v>
      </c>
      <c r="Q2" s="1">
        <v>0.90533333333333299</v>
      </c>
      <c r="R2" s="1">
        <v>582.26666666666597</v>
      </c>
      <c r="S2" s="1">
        <v>5.82266666666666E-4</v>
      </c>
      <c r="T2" s="1">
        <v>2.1158690176322401</v>
      </c>
      <c r="U2" t="s">
        <v>134</v>
      </c>
      <c r="V2" s="1">
        <v>0</v>
      </c>
    </row>
    <row r="3" spans="1:22" x14ac:dyDescent="0.2">
      <c r="A3">
        <v>2</v>
      </c>
      <c r="B3" t="s">
        <v>43</v>
      </c>
      <c r="C3" t="s">
        <v>40</v>
      </c>
      <c r="D3" t="s">
        <v>41</v>
      </c>
      <c r="E3">
        <v>1</v>
      </c>
      <c r="F3">
        <v>96</v>
      </c>
      <c r="G3">
        <v>39</v>
      </c>
      <c r="H3">
        <v>28</v>
      </c>
      <c r="I3" s="2">
        <v>44389</v>
      </c>
      <c r="J3">
        <v>54890</v>
      </c>
      <c r="K3">
        <v>2.6551999999999998</v>
      </c>
      <c r="L3" t="s">
        <v>42</v>
      </c>
      <c r="M3" s="1">
        <v>0.17649999999999999</v>
      </c>
      <c r="N3" s="1">
        <v>0.243666666666667</v>
      </c>
      <c r="O3" s="1">
        <v>6.7166666666666694E-2</v>
      </c>
      <c r="P3" s="1">
        <v>4.4165000000000001</v>
      </c>
      <c r="Q3" s="1">
        <v>1.0751666666666699</v>
      </c>
      <c r="R3" s="1">
        <v>972.88333333333298</v>
      </c>
      <c r="S3" s="1">
        <v>9.7288333333333296E-4</v>
      </c>
      <c r="T3" s="1">
        <v>2.0175994609379901</v>
      </c>
      <c r="U3" t="s">
        <v>134</v>
      </c>
      <c r="V3" s="1">
        <v>0</v>
      </c>
    </row>
    <row r="4" spans="1:22" x14ac:dyDescent="0.2">
      <c r="A4">
        <v>3</v>
      </c>
      <c r="B4" t="s">
        <v>44</v>
      </c>
      <c r="C4" t="s">
        <v>40</v>
      </c>
      <c r="D4" t="s">
        <v>41</v>
      </c>
      <c r="E4">
        <v>1</v>
      </c>
      <c r="F4">
        <v>82</v>
      </c>
      <c r="G4">
        <v>50</v>
      </c>
      <c r="H4">
        <v>30</v>
      </c>
      <c r="I4" s="2">
        <v>44389</v>
      </c>
      <c r="J4">
        <v>64403</v>
      </c>
      <c r="K4">
        <v>3.03572</v>
      </c>
      <c r="L4" t="s">
        <v>42</v>
      </c>
      <c r="M4" s="1">
        <v>0.143222222222222</v>
      </c>
      <c r="N4" s="1">
        <v>0.18388888888888899</v>
      </c>
      <c r="O4" s="1">
        <v>4.0666666666666698E-2</v>
      </c>
      <c r="P4" s="1">
        <v>3.5419999999999998</v>
      </c>
      <c r="Q4" s="1">
        <v>0.89933333333333298</v>
      </c>
      <c r="R4" s="1">
        <v>568.46666666666704</v>
      </c>
      <c r="S4" s="1">
        <v>5.6846666666666697E-4</v>
      </c>
      <c r="T4" s="1">
        <v>2.7692427973886899</v>
      </c>
      <c r="U4" t="s">
        <v>134</v>
      </c>
      <c r="V4" s="1">
        <v>0</v>
      </c>
    </row>
    <row r="5" spans="1:22" x14ac:dyDescent="0.2">
      <c r="A5">
        <v>4</v>
      </c>
      <c r="B5" t="s">
        <v>45</v>
      </c>
      <c r="C5" t="s">
        <v>40</v>
      </c>
      <c r="D5" t="s">
        <v>41</v>
      </c>
      <c r="E5">
        <v>1</v>
      </c>
      <c r="F5">
        <v>87</v>
      </c>
      <c r="G5">
        <v>55</v>
      </c>
      <c r="H5">
        <v>27</v>
      </c>
      <c r="I5" s="2">
        <v>44389</v>
      </c>
      <c r="J5">
        <v>67646</v>
      </c>
      <c r="K5">
        <v>3.1654399999999998</v>
      </c>
      <c r="L5" t="s">
        <v>42</v>
      </c>
      <c r="M5" s="1">
        <v>0.24</v>
      </c>
      <c r="N5" s="1">
        <v>0.26166666666666699</v>
      </c>
      <c r="O5" s="1">
        <v>2.1666666666666699E-2</v>
      </c>
      <c r="P5" s="1">
        <v>2.915</v>
      </c>
      <c r="Q5" s="1">
        <v>1.0993333333333299</v>
      </c>
      <c r="R5" s="1">
        <v>1028.4666666666701</v>
      </c>
      <c r="S5" s="1">
        <v>1.02846666666667E-3</v>
      </c>
      <c r="T5" s="1">
        <v>1.25969620362568</v>
      </c>
      <c r="U5" t="s">
        <v>134</v>
      </c>
      <c r="V5" s="1">
        <v>0</v>
      </c>
    </row>
    <row r="6" spans="1:22" x14ac:dyDescent="0.2">
      <c r="A6">
        <v>5</v>
      </c>
      <c r="B6" t="s">
        <v>46</v>
      </c>
      <c r="C6" t="s">
        <v>40</v>
      </c>
      <c r="D6" t="s">
        <v>41</v>
      </c>
      <c r="E6">
        <v>1</v>
      </c>
      <c r="F6">
        <v>81</v>
      </c>
      <c r="G6">
        <v>65</v>
      </c>
      <c r="H6">
        <v>23</v>
      </c>
      <c r="I6" s="2">
        <v>44389</v>
      </c>
      <c r="J6">
        <v>63405</v>
      </c>
      <c r="K6">
        <v>2.9958</v>
      </c>
      <c r="L6" t="s">
        <v>42</v>
      </c>
      <c r="M6" s="1">
        <v>0.139222222222222</v>
      </c>
      <c r="N6" s="1">
        <v>0.189</v>
      </c>
      <c r="O6" s="1">
        <v>4.9777777777777803E-2</v>
      </c>
      <c r="P6" s="1">
        <v>3.8426666666666698</v>
      </c>
      <c r="Q6" s="1">
        <v>0.94299999999999995</v>
      </c>
      <c r="R6" s="1">
        <v>668.9</v>
      </c>
      <c r="S6" s="1">
        <v>6.6890000000000005E-4</v>
      </c>
      <c r="T6" s="1">
        <v>2.5532244757839</v>
      </c>
      <c r="U6" t="s">
        <v>134</v>
      </c>
      <c r="V6" s="1">
        <v>0</v>
      </c>
    </row>
    <row r="7" spans="1:22" x14ac:dyDescent="0.2">
      <c r="A7">
        <v>6</v>
      </c>
      <c r="B7" t="s">
        <v>47</v>
      </c>
      <c r="C7" t="s">
        <v>40</v>
      </c>
      <c r="D7" t="s">
        <v>41</v>
      </c>
      <c r="E7">
        <v>1</v>
      </c>
      <c r="F7">
        <v>79</v>
      </c>
      <c r="G7">
        <v>60</v>
      </c>
      <c r="H7">
        <v>32</v>
      </c>
      <c r="I7" s="2">
        <v>44389</v>
      </c>
      <c r="J7">
        <v>79419</v>
      </c>
      <c r="K7">
        <v>3.6363599999999998</v>
      </c>
      <c r="L7" t="s">
        <v>42</v>
      </c>
      <c r="M7" s="1">
        <v>0.21083333333333301</v>
      </c>
      <c r="N7" s="1">
        <v>0.27816666666666701</v>
      </c>
      <c r="O7" s="1">
        <v>6.7333333333333301E-2</v>
      </c>
      <c r="P7" s="1">
        <v>4.4219999999999997</v>
      </c>
      <c r="Q7" s="1">
        <v>1.0780000000000001</v>
      </c>
      <c r="R7" s="1">
        <v>979.4</v>
      </c>
      <c r="S7" s="1">
        <v>9.7940000000000006E-4</v>
      </c>
      <c r="T7" s="1">
        <v>2.0066707507998101</v>
      </c>
      <c r="U7" t="s">
        <v>134</v>
      </c>
      <c r="V7" s="1">
        <v>0</v>
      </c>
    </row>
    <row r="8" spans="1:22" x14ac:dyDescent="0.2">
      <c r="A8">
        <v>10</v>
      </c>
      <c r="B8" t="s">
        <v>53</v>
      </c>
      <c r="C8" t="s">
        <v>40</v>
      </c>
      <c r="D8" t="s">
        <v>41</v>
      </c>
      <c r="E8">
        <v>1</v>
      </c>
      <c r="F8">
        <v>103</v>
      </c>
      <c r="G8">
        <v>52</v>
      </c>
      <c r="H8">
        <v>24</v>
      </c>
      <c r="I8" s="2">
        <v>44389</v>
      </c>
      <c r="J8">
        <v>67305</v>
      </c>
      <c r="K8">
        <v>3.1518000000000002</v>
      </c>
      <c r="L8" t="s">
        <v>42</v>
      </c>
      <c r="M8" s="1">
        <v>0.33300000000000002</v>
      </c>
      <c r="N8" s="1">
        <v>0.40733333333333299</v>
      </c>
      <c r="O8" s="1">
        <v>7.4333333333333307E-2</v>
      </c>
      <c r="P8" s="1">
        <v>4.6529999999999996</v>
      </c>
      <c r="Q8" s="1">
        <v>1.081</v>
      </c>
      <c r="R8" s="1">
        <v>986.3</v>
      </c>
      <c r="S8" s="1">
        <v>9.8630000000000007E-4</v>
      </c>
      <c r="T8" s="1">
        <v>2.0967251343404598</v>
      </c>
      <c r="U8" t="s">
        <v>134</v>
      </c>
      <c r="V8" s="1">
        <v>0</v>
      </c>
    </row>
    <row r="9" spans="1:22" x14ac:dyDescent="0.2">
      <c r="A9">
        <v>11</v>
      </c>
      <c r="B9" t="s">
        <v>54</v>
      </c>
      <c r="C9" t="s">
        <v>40</v>
      </c>
      <c r="D9" t="s">
        <v>41</v>
      </c>
      <c r="E9">
        <v>1</v>
      </c>
      <c r="F9">
        <v>92</v>
      </c>
      <c r="G9">
        <v>46</v>
      </c>
      <c r="H9">
        <v>29</v>
      </c>
      <c r="I9" s="2">
        <v>44389</v>
      </c>
      <c r="J9">
        <v>64260</v>
      </c>
      <c r="K9">
        <v>3.03</v>
      </c>
      <c r="L9" t="s">
        <v>42</v>
      </c>
      <c r="M9" s="1">
        <v>0.19839999999999999</v>
      </c>
      <c r="N9" s="1">
        <v>0.224</v>
      </c>
      <c r="O9" s="1">
        <v>2.5600000000000001E-2</v>
      </c>
      <c r="P9" s="1">
        <v>3.0448</v>
      </c>
      <c r="Q9" s="1">
        <v>1.0861666666666701</v>
      </c>
      <c r="R9" s="1">
        <v>998.18333333333305</v>
      </c>
      <c r="S9" s="1">
        <v>9.9818333333333395E-4</v>
      </c>
      <c r="T9" s="1">
        <v>1.3557073127292401</v>
      </c>
      <c r="U9" t="s">
        <v>134</v>
      </c>
      <c r="V9" s="1">
        <v>0</v>
      </c>
    </row>
    <row r="10" spans="1:22" x14ac:dyDescent="0.2">
      <c r="A10">
        <v>13</v>
      </c>
      <c r="B10" t="s">
        <v>57</v>
      </c>
      <c r="C10" t="s">
        <v>40</v>
      </c>
      <c r="D10" t="s">
        <v>41</v>
      </c>
      <c r="E10">
        <v>1</v>
      </c>
      <c r="F10">
        <v>84</v>
      </c>
      <c r="G10">
        <v>50</v>
      </c>
      <c r="H10">
        <v>36</v>
      </c>
      <c r="I10" s="2">
        <v>44389</v>
      </c>
      <c r="J10">
        <v>79168</v>
      </c>
      <c r="K10">
        <v>3.6263200000000002</v>
      </c>
      <c r="L10" t="s">
        <v>42</v>
      </c>
      <c r="M10" s="1">
        <v>0.17166666666666699</v>
      </c>
      <c r="N10" s="1">
        <v>0.20200000000000001</v>
      </c>
      <c r="O10" s="1">
        <v>3.0333333333333299E-2</v>
      </c>
      <c r="P10" s="1">
        <v>3.2010000000000001</v>
      </c>
      <c r="Q10" s="1">
        <v>1.0780000000000001</v>
      </c>
      <c r="R10" s="1">
        <v>979.4</v>
      </c>
      <c r="S10" s="1">
        <v>9.7940000000000006E-4</v>
      </c>
      <c r="T10" s="1">
        <v>1.45259002110135</v>
      </c>
      <c r="U10" t="s">
        <v>134</v>
      </c>
      <c r="V10" s="1">
        <v>0</v>
      </c>
    </row>
    <row r="11" spans="1:22" x14ac:dyDescent="0.2">
      <c r="A11">
        <v>14</v>
      </c>
      <c r="B11" t="s">
        <v>58</v>
      </c>
      <c r="C11" t="s">
        <v>40</v>
      </c>
      <c r="D11" t="s">
        <v>41</v>
      </c>
      <c r="E11">
        <v>1</v>
      </c>
      <c r="F11">
        <v>81</v>
      </c>
      <c r="G11">
        <v>54</v>
      </c>
      <c r="H11">
        <v>30</v>
      </c>
      <c r="I11" s="2">
        <v>44389</v>
      </c>
      <c r="J11">
        <v>68707</v>
      </c>
      <c r="K11">
        <v>3.2078799999999998</v>
      </c>
      <c r="L11" t="s">
        <v>42</v>
      </c>
      <c r="M11" s="1">
        <v>0.16566666666666699</v>
      </c>
      <c r="N11" s="1">
        <v>0.185</v>
      </c>
      <c r="O11" s="1">
        <v>1.93333333333333E-2</v>
      </c>
      <c r="P11" s="1">
        <v>2.8380000000000001</v>
      </c>
      <c r="Q11" s="1">
        <v>0.96899999999999997</v>
      </c>
      <c r="R11" s="1">
        <v>728.7</v>
      </c>
      <c r="S11" s="1">
        <v>7.2869999999999999E-4</v>
      </c>
      <c r="T11" s="1">
        <v>1.7309363707058201</v>
      </c>
      <c r="U11" t="s">
        <v>134</v>
      </c>
      <c r="V11" s="1">
        <v>0</v>
      </c>
    </row>
    <row r="12" spans="1:22" x14ac:dyDescent="0.2">
      <c r="A12">
        <v>15</v>
      </c>
      <c r="B12" t="s">
        <v>59</v>
      </c>
      <c r="C12" t="s">
        <v>40</v>
      </c>
      <c r="D12" t="s">
        <v>41</v>
      </c>
      <c r="E12">
        <v>1</v>
      </c>
      <c r="F12">
        <v>82</v>
      </c>
      <c r="G12">
        <v>47</v>
      </c>
      <c r="H12">
        <v>29</v>
      </c>
      <c r="I12" s="2">
        <v>44389</v>
      </c>
      <c r="J12">
        <v>58521</v>
      </c>
      <c r="K12">
        <v>2.80044</v>
      </c>
      <c r="L12" t="s">
        <v>42</v>
      </c>
      <c r="M12" s="1">
        <v>0.17833333333333301</v>
      </c>
      <c r="N12" s="1">
        <v>0.20449999999999999</v>
      </c>
      <c r="O12" s="1">
        <v>2.6166666666666599E-2</v>
      </c>
      <c r="P12" s="1">
        <v>3.0634999999999999</v>
      </c>
      <c r="Q12" s="1">
        <v>1.1423333333333301</v>
      </c>
      <c r="R12" s="1">
        <v>1127.36666666667</v>
      </c>
      <c r="S12" s="1">
        <v>1.1273666666666701E-3</v>
      </c>
      <c r="T12" s="1">
        <v>1.20773089697722</v>
      </c>
      <c r="U12" t="s">
        <v>134</v>
      </c>
      <c r="V12" s="1">
        <v>0</v>
      </c>
    </row>
    <row r="13" spans="1:22" x14ac:dyDescent="0.2">
      <c r="A13">
        <v>16</v>
      </c>
      <c r="B13" t="s">
        <v>60</v>
      </c>
      <c r="C13" t="s">
        <v>40</v>
      </c>
      <c r="D13" t="s">
        <v>41</v>
      </c>
      <c r="E13">
        <v>1</v>
      </c>
      <c r="F13">
        <v>87</v>
      </c>
      <c r="G13">
        <v>57</v>
      </c>
      <c r="H13">
        <v>33</v>
      </c>
      <c r="I13" s="2">
        <v>44389</v>
      </c>
      <c r="J13">
        <v>85685</v>
      </c>
      <c r="K13">
        <v>3.887</v>
      </c>
      <c r="L13" t="s">
        <v>42</v>
      </c>
      <c r="M13" s="1">
        <v>0.21099999999999999</v>
      </c>
      <c r="N13" s="1">
        <v>0.23533333333333301</v>
      </c>
      <c r="O13" s="1">
        <v>2.4333333333333301E-2</v>
      </c>
      <c r="P13" s="1">
        <v>3.0030000000000001</v>
      </c>
      <c r="Q13" s="1">
        <v>1.2393333333333301</v>
      </c>
      <c r="R13" s="1">
        <v>1350.4666666666701</v>
      </c>
      <c r="S13" s="1">
        <v>1.35046666666667E-3</v>
      </c>
      <c r="T13" s="1">
        <v>0.98830034062299499</v>
      </c>
      <c r="U13" t="s">
        <v>134</v>
      </c>
      <c r="V13" s="1">
        <v>0</v>
      </c>
    </row>
    <row r="14" spans="1:22" x14ac:dyDescent="0.2">
      <c r="A14">
        <v>28</v>
      </c>
      <c r="B14" t="s">
        <v>74</v>
      </c>
      <c r="C14" t="s">
        <v>40</v>
      </c>
      <c r="D14" t="s">
        <v>49</v>
      </c>
      <c r="E14">
        <v>2</v>
      </c>
      <c r="F14">
        <v>77</v>
      </c>
      <c r="G14">
        <v>56</v>
      </c>
      <c r="H14">
        <v>34</v>
      </c>
      <c r="I14" t="s">
        <v>75</v>
      </c>
      <c r="J14">
        <v>76764</v>
      </c>
      <c r="K14">
        <v>3.53016</v>
      </c>
      <c r="L14" t="s">
        <v>76</v>
      </c>
      <c r="M14" s="1">
        <v>0.287333333333333</v>
      </c>
      <c r="N14" s="1">
        <v>0.36933333333333301</v>
      </c>
      <c r="O14" s="1">
        <v>8.2000000000000003E-2</v>
      </c>
      <c r="P14" s="1">
        <v>4.9059999999999997</v>
      </c>
      <c r="Q14" s="1">
        <v>0.86533333333333295</v>
      </c>
      <c r="R14" s="1">
        <v>490.26666666666699</v>
      </c>
      <c r="S14" s="1">
        <v>4.9026666666666702E-4</v>
      </c>
      <c r="T14" s="1">
        <v>4.4474662315293196</v>
      </c>
      <c r="U14" t="s">
        <v>118</v>
      </c>
      <c r="V14" s="1">
        <v>2</v>
      </c>
    </row>
    <row r="15" spans="1:22" x14ac:dyDescent="0.2">
      <c r="A15">
        <v>47</v>
      </c>
      <c r="B15" t="s">
        <v>96</v>
      </c>
      <c r="C15" t="s">
        <v>40</v>
      </c>
      <c r="D15" t="s">
        <v>49</v>
      </c>
      <c r="E15">
        <v>2</v>
      </c>
      <c r="F15">
        <v>82</v>
      </c>
      <c r="G15">
        <v>52</v>
      </c>
      <c r="H15">
        <v>29</v>
      </c>
      <c r="I15" s="2">
        <v>44390</v>
      </c>
      <c r="J15">
        <v>64746</v>
      </c>
      <c r="K15">
        <v>3.0494400000000002</v>
      </c>
      <c r="L15" t="s">
        <v>76</v>
      </c>
      <c r="M15" s="1">
        <v>0.141222222222222</v>
      </c>
      <c r="N15" s="1">
        <v>0.194888888888889</v>
      </c>
      <c r="O15" s="1">
        <v>5.3666666666666703E-2</v>
      </c>
      <c r="P15" s="1">
        <v>3.9710000000000001</v>
      </c>
      <c r="Q15" s="1">
        <v>0.855833333333333</v>
      </c>
      <c r="R15" s="1">
        <v>468.41666666666703</v>
      </c>
      <c r="S15" s="1">
        <v>4.68416666666667E-4</v>
      </c>
      <c r="T15" s="1">
        <v>3.7677756033920402</v>
      </c>
      <c r="U15" t="s">
        <v>118</v>
      </c>
      <c r="V15" s="1">
        <v>2</v>
      </c>
    </row>
    <row r="16" spans="1:22" x14ac:dyDescent="0.2">
      <c r="A16">
        <v>48</v>
      </c>
      <c r="B16" t="s">
        <v>97</v>
      </c>
      <c r="C16" t="s">
        <v>40</v>
      </c>
      <c r="D16" t="s">
        <v>49</v>
      </c>
      <c r="E16">
        <v>2</v>
      </c>
      <c r="F16">
        <v>90</v>
      </c>
      <c r="G16">
        <v>55</v>
      </c>
      <c r="H16">
        <v>31</v>
      </c>
      <c r="I16" s="2">
        <v>44390</v>
      </c>
      <c r="J16">
        <v>80346</v>
      </c>
      <c r="K16">
        <v>3.6734399999999998</v>
      </c>
      <c r="L16" t="s">
        <v>76</v>
      </c>
      <c r="M16" s="1">
        <v>0.36066666666666702</v>
      </c>
      <c r="N16" s="1">
        <v>0.45833333333333298</v>
      </c>
      <c r="O16" s="1">
        <v>9.7666666666666693E-2</v>
      </c>
      <c r="P16" s="1">
        <v>5.423</v>
      </c>
      <c r="Q16" s="1">
        <v>0.96933333333333305</v>
      </c>
      <c r="R16" s="1">
        <v>729.46666666666704</v>
      </c>
      <c r="S16" s="1">
        <v>7.2946666666666698E-4</v>
      </c>
      <c r="T16" s="1">
        <v>3.3040882227502602</v>
      </c>
      <c r="U16" t="s">
        <v>118</v>
      </c>
      <c r="V16" s="1">
        <v>2</v>
      </c>
    </row>
    <row r="17" spans="1:22" x14ac:dyDescent="0.2">
      <c r="A17">
        <v>49</v>
      </c>
      <c r="B17" t="s">
        <v>98</v>
      </c>
      <c r="C17" t="s">
        <v>40</v>
      </c>
      <c r="D17" t="s">
        <v>49</v>
      </c>
      <c r="E17">
        <v>2</v>
      </c>
      <c r="F17">
        <v>91</v>
      </c>
      <c r="G17">
        <v>55</v>
      </c>
      <c r="H17">
        <v>32</v>
      </c>
      <c r="I17" s="2">
        <v>44390</v>
      </c>
      <c r="J17">
        <v>83860</v>
      </c>
      <c r="K17">
        <v>3.8140000000000001</v>
      </c>
      <c r="L17" t="s">
        <v>76</v>
      </c>
      <c r="M17" s="1">
        <v>0.24966666666666701</v>
      </c>
      <c r="N17" s="1">
        <v>0.31566666666666698</v>
      </c>
      <c r="O17" s="1">
        <v>6.6000000000000003E-2</v>
      </c>
      <c r="P17" s="1">
        <v>4.3780000000000001</v>
      </c>
      <c r="Q17" s="1">
        <v>0.90583333333333305</v>
      </c>
      <c r="R17" s="1">
        <v>583.41666666666697</v>
      </c>
      <c r="S17" s="1">
        <v>5.83416666666666E-4</v>
      </c>
      <c r="T17" s="1">
        <v>3.3351425986763799</v>
      </c>
      <c r="U17" t="s">
        <v>118</v>
      </c>
      <c r="V17" s="1">
        <v>2</v>
      </c>
    </row>
    <row r="18" spans="1:22" x14ac:dyDescent="0.2">
      <c r="A18">
        <v>50</v>
      </c>
      <c r="B18" t="s">
        <v>99</v>
      </c>
      <c r="C18" t="s">
        <v>40</v>
      </c>
      <c r="D18" t="s">
        <v>49</v>
      </c>
      <c r="E18">
        <v>2</v>
      </c>
      <c r="F18">
        <v>72</v>
      </c>
      <c r="G18">
        <v>59</v>
      </c>
      <c r="H18">
        <v>32</v>
      </c>
      <c r="I18" s="2">
        <v>44390</v>
      </c>
      <c r="J18">
        <v>71176</v>
      </c>
      <c r="K18">
        <v>3.3066399999999998</v>
      </c>
      <c r="L18" t="s">
        <v>76</v>
      </c>
      <c r="M18" s="1">
        <v>0.32800000000000001</v>
      </c>
      <c r="N18" s="1">
        <v>0.43466666666666698</v>
      </c>
      <c r="O18" s="1">
        <v>0.10666666666666701</v>
      </c>
      <c r="P18" s="1">
        <v>5.72</v>
      </c>
      <c r="Q18" s="1">
        <v>0.98499999999999999</v>
      </c>
      <c r="R18" s="1">
        <v>765.5</v>
      </c>
      <c r="S18" s="1">
        <v>7.6550000000000001E-4</v>
      </c>
      <c r="T18" s="1">
        <v>3.3209957181217802</v>
      </c>
      <c r="U18" t="s">
        <v>118</v>
      </c>
      <c r="V18" s="1">
        <v>2</v>
      </c>
    </row>
    <row r="19" spans="1:22" x14ac:dyDescent="0.2">
      <c r="A19">
        <v>51</v>
      </c>
      <c r="B19" t="s">
        <v>100</v>
      </c>
      <c r="C19" t="s">
        <v>40</v>
      </c>
      <c r="D19" t="s">
        <v>49</v>
      </c>
      <c r="E19">
        <v>2</v>
      </c>
      <c r="F19">
        <v>80</v>
      </c>
      <c r="G19">
        <v>56</v>
      </c>
      <c r="H19">
        <v>28</v>
      </c>
      <c r="I19" s="2">
        <v>44390</v>
      </c>
      <c r="J19">
        <v>65680</v>
      </c>
      <c r="K19">
        <v>3.0868000000000002</v>
      </c>
      <c r="L19" t="s">
        <v>76</v>
      </c>
      <c r="M19" s="1">
        <v>0.38966666666666699</v>
      </c>
      <c r="N19" s="1">
        <v>0.52266666666666695</v>
      </c>
      <c r="O19" s="1">
        <v>0.13300000000000001</v>
      </c>
      <c r="P19" s="1">
        <v>6.5890000000000004</v>
      </c>
      <c r="Q19" s="1">
        <v>1.0553333333333299</v>
      </c>
      <c r="R19" s="1">
        <v>927.26666666666597</v>
      </c>
      <c r="S19" s="1">
        <v>9.2726666666666604E-4</v>
      </c>
      <c r="T19" s="1">
        <v>3.1581470031394598</v>
      </c>
      <c r="U19" t="s">
        <v>118</v>
      </c>
      <c r="V19" s="1">
        <v>2</v>
      </c>
    </row>
    <row r="20" spans="1:22" x14ac:dyDescent="0.2">
      <c r="A20">
        <v>52</v>
      </c>
      <c r="B20" t="s">
        <v>101</v>
      </c>
      <c r="C20" t="s">
        <v>40</v>
      </c>
      <c r="D20" t="s">
        <v>49</v>
      </c>
      <c r="E20">
        <v>2</v>
      </c>
      <c r="F20">
        <v>103</v>
      </c>
      <c r="G20">
        <v>56</v>
      </c>
      <c r="H20">
        <v>37</v>
      </c>
      <c r="I20" s="2">
        <v>44390</v>
      </c>
      <c r="J20">
        <v>111744</v>
      </c>
      <c r="K20">
        <v>4.92936</v>
      </c>
      <c r="L20" t="s">
        <v>76</v>
      </c>
      <c r="M20" s="1">
        <v>0.34</v>
      </c>
      <c r="N20" s="1">
        <v>0.442</v>
      </c>
      <c r="O20" s="1">
        <v>0.10199999999999999</v>
      </c>
      <c r="P20" s="1">
        <v>5.5659999999999998</v>
      </c>
      <c r="Q20" s="1">
        <v>1.0740000000000001</v>
      </c>
      <c r="R20" s="1">
        <v>970.2</v>
      </c>
      <c r="S20" s="1">
        <v>9.7019999999999995E-4</v>
      </c>
      <c r="T20" s="1">
        <v>2.5497606449987398</v>
      </c>
      <c r="U20" t="s">
        <v>118</v>
      </c>
      <c r="V20" s="1">
        <v>2</v>
      </c>
    </row>
    <row r="21" spans="1:22" x14ac:dyDescent="0.2">
      <c r="A21">
        <v>53</v>
      </c>
      <c r="B21" t="s">
        <v>102</v>
      </c>
      <c r="C21" t="s">
        <v>40</v>
      </c>
      <c r="D21" t="s">
        <v>49</v>
      </c>
      <c r="E21">
        <v>2</v>
      </c>
      <c r="F21">
        <v>83</v>
      </c>
      <c r="G21">
        <v>54</v>
      </c>
      <c r="H21">
        <v>35</v>
      </c>
      <c r="I21" s="2">
        <v>44390</v>
      </c>
      <c r="J21">
        <v>82137</v>
      </c>
      <c r="K21">
        <v>3.7450800000000002</v>
      </c>
      <c r="L21" t="s">
        <v>76</v>
      </c>
      <c r="M21" s="1">
        <v>0.32900000000000001</v>
      </c>
      <c r="N21" s="1">
        <v>0.40766666666666701</v>
      </c>
      <c r="O21" s="1">
        <v>7.8666666666666704E-2</v>
      </c>
      <c r="P21" s="1">
        <v>4.7960000000000003</v>
      </c>
      <c r="Q21" s="1">
        <v>1.1016666666666699</v>
      </c>
      <c r="R21" s="1">
        <v>1033.8333333333301</v>
      </c>
      <c r="S21" s="1">
        <v>1.03383333333333E-3</v>
      </c>
      <c r="T21" s="1">
        <v>2.0617980547047101</v>
      </c>
      <c r="U21" t="s">
        <v>118</v>
      </c>
      <c r="V21" s="1">
        <v>2</v>
      </c>
    </row>
    <row r="22" spans="1:22" x14ac:dyDescent="0.2">
      <c r="A22">
        <v>54</v>
      </c>
      <c r="B22" t="s">
        <v>103</v>
      </c>
      <c r="C22" t="s">
        <v>40</v>
      </c>
      <c r="D22" t="s">
        <v>49</v>
      </c>
      <c r="E22">
        <v>2</v>
      </c>
      <c r="F22">
        <v>98</v>
      </c>
      <c r="G22">
        <v>54</v>
      </c>
      <c r="H22">
        <v>34</v>
      </c>
      <c r="I22" s="2">
        <v>44390</v>
      </c>
      <c r="J22">
        <v>94210</v>
      </c>
      <c r="K22">
        <v>4.2279999999999998</v>
      </c>
      <c r="L22" t="s">
        <v>76</v>
      </c>
      <c r="M22" s="1">
        <v>0.318</v>
      </c>
      <c r="N22" s="1">
        <v>0.42299999999999999</v>
      </c>
      <c r="O22" s="1">
        <v>0.105</v>
      </c>
      <c r="P22" s="1">
        <v>5.665</v>
      </c>
      <c r="Q22" s="1">
        <v>0.81466666666666698</v>
      </c>
      <c r="R22" s="1">
        <v>373.73333333333301</v>
      </c>
      <c r="S22" s="1">
        <v>3.73733333333333E-4</v>
      </c>
      <c r="T22" s="1">
        <v>6.7368295873468904</v>
      </c>
      <c r="U22" t="s">
        <v>118</v>
      </c>
      <c r="V22" s="1">
        <v>2</v>
      </c>
    </row>
    <row r="23" spans="1:22" x14ac:dyDescent="0.2">
      <c r="A23">
        <v>55</v>
      </c>
      <c r="B23" t="s">
        <v>104</v>
      </c>
      <c r="C23" t="s">
        <v>40</v>
      </c>
      <c r="D23" t="s">
        <v>49</v>
      </c>
      <c r="E23">
        <v>2</v>
      </c>
      <c r="F23">
        <v>94</v>
      </c>
      <c r="G23">
        <v>61</v>
      </c>
      <c r="H23">
        <v>42</v>
      </c>
      <c r="I23" s="2">
        <v>44390</v>
      </c>
      <c r="J23">
        <v>126097</v>
      </c>
      <c r="K23">
        <v>5.5034799999999997</v>
      </c>
      <c r="L23" t="s">
        <v>76</v>
      </c>
      <c r="M23" s="1">
        <v>0.21322222222222201</v>
      </c>
      <c r="N23" s="1">
        <v>0.32122222222222202</v>
      </c>
      <c r="O23" s="1">
        <v>0.108</v>
      </c>
      <c r="P23" s="1">
        <v>5.7640000000000002</v>
      </c>
      <c r="Q23" s="1">
        <v>0.87166666666666703</v>
      </c>
      <c r="R23" s="1">
        <v>504.83333333333297</v>
      </c>
      <c r="S23" s="1">
        <v>5.0483333333333305E-4</v>
      </c>
      <c r="T23" s="1">
        <v>5.0745020358754296</v>
      </c>
      <c r="U23" t="s">
        <v>118</v>
      </c>
      <c r="V23" s="1">
        <v>2</v>
      </c>
    </row>
    <row r="24" spans="1:22" x14ac:dyDescent="0.2">
      <c r="A24">
        <v>56</v>
      </c>
      <c r="B24" t="s">
        <v>105</v>
      </c>
      <c r="C24" t="s">
        <v>40</v>
      </c>
      <c r="D24" t="s">
        <v>49</v>
      </c>
      <c r="E24">
        <v>2</v>
      </c>
      <c r="F24">
        <v>88</v>
      </c>
      <c r="G24">
        <v>54</v>
      </c>
      <c r="H24">
        <v>30</v>
      </c>
      <c r="I24" s="2">
        <v>44390</v>
      </c>
      <c r="J24">
        <v>74644</v>
      </c>
      <c r="K24">
        <v>3.44536</v>
      </c>
      <c r="L24" t="s">
        <v>76</v>
      </c>
      <c r="M24" s="1">
        <v>0.30399999999999999</v>
      </c>
      <c r="N24" s="1">
        <v>0.4</v>
      </c>
      <c r="O24" s="1">
        <v>9.6000000000000002E-2</v>
      </c>
      <c r="P24" s="1">
        <v>5.3680000000000003</v>
      </c>
      <c r="Q24" s="1">
        <v>0.91</v>
      </c>
      <c r="R24" s="1">
        <v>593</v>
      </c>
      <c r="S24" s="1">
        <v>5.9299999999999999E-4</v>
      </c>
      <c r="T24" s="1">
        <v>4.0232340266067101</v>
      </c>
      <c r="U24" t="s">
        <v>118</v>
      </c>
      <c r="V24" s="1">
        <v>2</v>
      </c>
    </row>
    <row r="25" spans="1:22" x14ac:dyDescent="0.2">
      <c r="A25">
        <v>57</v>
      </c>
      <c r="B25" t="s">
        <v>106</v>
      </c>
      <c r="C25" t="s">
        <v>40</v>
      </c>
      <c r="D25" t="s">
        <v>49</v>
      </c>
      <c r="E25">
        <v>2</v>
      </c>
      <c r="F25">
        <v>94</v>
      </c>
      <c r="G25">
        <v>52</v>
      </c>
      <c r="H25">
        <v>28</v>
      </c>
      <c r="I25" s="2">
        <v>44390</v>
      </c>
      <c r="J25">
        <v>71662</v>
      </c>
      <c r="K25">
        <v>3.3260800000000001</v>
      </c>
      <c r="L25" t="s">
        <v>76</v>
      </c>
      <c r="M25" s="1">
        <v>0.16466666666666699</v>
      </c>
      <c r="N25" s="1">
        <v>0.196333333333333</v>
      </c>
      <c r="O25" s="1">
        <v>3.1666666666666697E-2</v>
      </c>
      <c r="P25" s="1">
        <v>3.2450000000000001</v>
      </c>
      <c r="Q25" s="1">
        <v>0.97266666666666701</v>
      </c>
      <c r="R25" s="1">
        <v>737.13333333333298</v>
      </c>
      <c r="S25" s="1">
        <v>7.37133333333333E-4</v>
      </c>
      <c r="T25" s="1">
        <v>1.95652829278587</v>
      </c>
      <c r="U25" t="s">
        <v>118</v>
      </c>
      <c r="V25" s="1">
        <v>2</v>
      </c>
    </row>
    <row r="26" spans="1:22" x14ac:dyDescent="0.2">
      <c r="A26">
        <v>7</v>
      </c>
      <c r="B26" t="s">
        <v>48</v>
      </c>
      <c r="C26" t="s">
        <v>40</v>
      </c>
      <c r="D26" t="s">
        <v>49</v>
      </c>
      <c r="E26">
        <v>1</v>
      </c>
      <c r="F26">
        <v>74</v>
      </c>
      <c r="G26">
        <v>59</v>
      </c>
      <c r="H26">
        <v>30</v>
      </c>
      <c r="I26" s="2">
        <v>44389</v>
      </c>
      <c r="J26">
        <v>68581</v>
      </c>
      <c r="K26">
        <v>3.2028400000000001</v>
      </c>
      <c r="L26" t="s">
        <v>50</v>
      </c>
      <c r="M26" s="1">
        <v>0.20649999999999999</v>
      </c>
      <c r="N26" s="1">
        <v>0.287833333333333</v>
      </c>
      <c r="O26" s="1">
        <v>8.1333333333333299E-2</v>
      </c>
      <c r="P26" s="1">
        <v>4.8840000000000003</v>
      </c>
      <c r="Q26" s="1">
        <v>1.1779999999999999</v>
      </c>
      <c r="R26" s="1">
        <v>1209.4000000000001</v>
      </c>
      <c r="S26" s="1">
        <v>1.2094E-3</v>
      </c>
      <c r="T26" s="1">
        <v>1.79482939198501</v>
      </c>
      <c r="U26" t="s">
        <v>118</v>
      </c>
      <c r="V26" s="1">
        <v>1</v>
      </c>
    </row>
    <row r="27" spans="1:22" x14ac:dyDescent="0.2">
      <c r="A27">
        <v>8</v>
      </c>
      <c r="B27" t="s">
        <v>51</v>
      </c>
      <c r="C27" t="s">
        <v>40</v>
      </c>
      <c r="D27" t="s">
        <v>49</v>
      </c>
      <c r="E27">
        <v>1</v>
      </c>
      <c r="F27">
        <v>78</v>
      </c>
      <c r="G27">
        <v>52</v>
      </c>
      <c r="H27">
        <v>31</v>
      </c>
      <c r="I27" s="2">
        <v>44389</v>
      </c>
      <c r="J27">
        <v>65835</v>
      </c>
      <c r="K27">
        <v>3.093</v>
      </c>
      <c r="L27" t="s">
        <v>50</v>
      </c>
      <c r="M27" s="1">
        <v>0.371</v>
      </c>
      <c r="N27" s="1">
        <v>0.462666666666667</v>
      </c>
      <c r="O27" s="1">
        <v>9.1666666666666702E-2</v>
      </c>
      <c r="P27" s="1">
        <v>5.2249999999999996</v>
      </c>
      <c r="Q27" s="1">
        <v>1.13333333333333</v>
      </c>
      <c r="R27" s="1">
        <v>1106.6666666666699</v>
      </c>
      <c r="S27" s="1">
        <v>1.1066666666666701E-3</v>
      </c>
      <c r="T27" s="1">
        <v>2.09839357429719</v>
      </c>
      <c r="U27" t="s">
        <v>118</v>
      </c>
      <c r="V27" s="1">
        <v>1</v>
      </c>
    </row>
    <row r="28" spans="1:22" x14ac:dyDescent="0.2">
      <c r="A28">
        <v>9</v>
      </c>
      <c r="B28" t="s">
        <v>52</v>
      </c>
      <c r="C28" t="s">
        <v>40</v>
      </c>
      <c r="D28" t="s">
        <v>49</v>
      </c>
      <c r="E28">
        <v>1</v>
      </c>
      <c r="F28">
        <v>90</v>
      </c>
      <c r="G28">
        <v>49</v>
      </c>
      <c r="H28">
        <v>26</v>
      </c>
      <c r="I28" s="2">
        <v>44389</v>
      </c>
      <c r="J28">
        <v>60036</v>
      </c>
      <c r="K28">
        <v>2.86104</v>
      </c>
      <c r="L28" t="s">
        <v>50</v>
      </c>
      <c r="M28" s="1">
        <v>0.49333333333333301</v>
      </c>
      <c r="N28" s="1">
        <v>0.544333333333333</v>
      </c>
      <c r="O28" s="1">
        <v>5.0999999999999997E-2</v>
      </c>
      <c r="P28" s="1">
        <v>3.883</v>
      </c>
      <c r="Q28" s="1">
        <v>1.0636666666666701</v>
      </c>
      <c r="R28" s="1">
        <v>946.43333333333305</v>
      </c>
      <c r="S28" s="1">
        <v>9.4643333333333305E-4</v>
      </c>
      <c r="T28" s="1">
        <v>1.82345413775696</v>
      </c>
      <c r="U28" t="s">
        <v>118</v>
      </c>
      <c r="V28" s="1">
        <v>1</v>
      </c>
    </row>
    <row r="29" spans="1:22" x14ac:dyDescent="0.2">
      <c r="A29">
        <v>12</v>
      </c>
      <c r="B29" t="s">
        <v>55</v>
      </c>
      <c r="C29" t="s">
        <v>40</v>
      </c>
      <c r="D29" t="s">
        <v>56</v>
      </c>
      <c r="E29">
        <v>1</v>
      </c>
      <c r="F29">
        <v>82</v>
      </c>
      <c r="G29">
        <v>50</v>
      </c>
      <c r="H29">
        <v>27</v>
      </c>
      <c r="I29" s="2">
        <v>44389</v>
      </c>
      <c r="J29">
        <v>57962</v>
      </c>
      <c r="K29">
        <v>2.7780800000000001</v>
      </c>
      <c r="L29" t="s">
        <v>50</v>
      </c>
      <c r="M29" s="1">
        <v>0.180666666666667</v>
      </c>
      <c r="N29" s="1">
        <v>0.23599999999999999</v>
      </c>
      <c r="O29" s="1">
        <v>5.5333333333333297E-2</v>
      </c>
      <c r="P29" s="1">
        <v>4.0259999999999998</v>
      </c>
      <c r="Q29" s="1">
        <v>0.999</v>
      </c>
      <c r="R29" s="1">
        <v>797.7</v>
      </c>
      <c r="S29" s="1">
        <v>7.9770000000000004E-4</v>
      </c>
      <c r="T29" s="1">
        <v>2.24311562408591</v>
      </c>
      <c r="U29" t="s">
        <v>118</v>
      </c>
      <c r="V29" s="1">
        <v>1</v>
      </c>
    </row>
    <row r="30" spans="1:22" x14ac:dyDescent="0.2">
      <c r="A30">
        <v>17</v>
      </c>
      <c r="B30" t="s">
        <v>61</v>
      </c>
      <c r="C30" t="s">
        <v>40</v>
      </c>
      <c r="D30" t="s">
        <v>49</v>
      </c>
      <c r="E30">
        <v>1</v>
      </c>
      <c r="F30">
        <v>95</v>
      </c>
      <c r="G30">
        <v>53</v>
      </c>
      <c r="H30">
        <v>27</v>
      </c>
      <c r="I30" s="2">
        <v>44389</v>
      </c>
      <c r="J30">
        <v>71181</v>
      </c>
      <c r="K30">
        <v>3.3068399999999998</v>
      </c>
      <c r="L30" t="s">
        <v>50</v>
      </c>
      <c r="M30" s="1">
        <v>0.1832</v>
      </c>
      <c r="N30" s="1">
        <v>0.22789999999999999</v>
      </c>
      <c r="O30" s="1">
        <v>4.4699999999999997E-2</v>
      </c>
      <c r="P30" s="1">
        <v>3.6751</v>
      </c>
      <c r="Q30" s="1">
        <v>0.94650000000000001</v>
      </c>
      <c r="R30" s="1">
        <v>676.95</v>
      </c>
      <c r="S30" s="1">
        <v>6.7694999999999995E-4</v>
      </c>
      <c r="T30" s="1">
        <v>2.41284847887994</v>
      </c>
      <c r="U30" t="s">
        <v>118</v>
      </c>
      <c r="V30" s="1">
        <v>1</v>
      </c>
    </row>
    <row r="31" spans="1:22" x14ac:dyDescent="0.2">
      <c r="A31">
        <v>18</v>
      </c>
      <c r="B31" t="s">
        <v>62</v>
      </c>
      <c r="C31" t="s">
        <v>40</v>
      </c>
      <c r="D31" t="s">
        <v>49</v>
      </c>
      <c r="E31">
        <v>1</v>
      </c>
      <c r="F31">
        <v>85</v>
      </c>
      <c r="G31">
        <v>61</v>
      </c>
      <c r="H31">
        <v>33</v>
      </c>
      <c r="I31" s="2">
        <v>44389</v>
      </c>
      <c r="J31">
        <v>89590</v>
      </c>
      <c r="K31">
        <v>4.0431999999999997</v>
      </c>
      <c r="L31" t="s">
        <v>50</v>
      </c>
      <c r="M31" s="1">
        <v>0.19266666666666701</v>
      </c>
      <c r="N31" s="1">
        <v>0.230333333333333</v>
      </c>
      <c r="O31" s="1">
        <v>3.7666666666666702E-2</v>
      </c>
      <c r="P31" s="1">
        <v>3.4430000000000001</v>
      </c>
      <c r="Q31" s="1">
        <v>1.1819999999999999</v>
      </c>
      <c r="R31" s="1">
        <v>1218.5999999999999</v>
      </c>
      <c r="S31" s="1">
        <v>1.2186E-3</v>
      </c>
      <c r="T31" s="1">
        <v>1.25572150190565</v>
      </c>
      <c r="U31" t="s">
        <v>118</v>
      </c>
      <c r="V31" s="1">
        <v>1</v>
      </c>
    </row>
    <row r="32" spans="1:22" x14ac:dyDescent="0.2">
      <c r="A32">
        <v>19</v>
      </c>
      <c r="B32" t="s">
        <v>63</v>
      </c>
      <c r="C32" t="s">
        <v>40</v>
      </c>
      <c r="D32" t="s">
        <v>49</v>
      </c>
      <c r="E32">
        <v>1</v>
      </c>
      <c r="F32">
        <v>93</v>
      </c>
      <c r="G32">
        <v>48</v>
      </c>
      <c r="H32">
        <v>27</v>
      </c>
      <c r="I32" s="2">
        <v>44389</v>
      </c>
      <c r="J32">
        <v>63108</v>
      </c>
      <c r="K32">
        <v>2.9839199999999999</v>
      </c>
      <c r="L32" t="s">
        <v>50</v>
      </c>
      <c r="M32" s="1">
        <v>0.12733333333333299</v>
      </c>
      <c r="N32" s="1">
        <v>0.14699999999999999</v>
      </c>
      <c r="O32" s="1">
        <v>1.96666666666667E-2</v>
      </c>
      <c r="P32" s="1">
        <v>2.8490000000000002</v>
      </c>
      <c r="Q32" s="1">
        <v>0.874</v>
      </c>
      <c r="R32" s="1">
        <v>510.2</v>
      </c>
      <c r="S32" s="1">
        <v>5.1020000000000004E-4</v>
      </c>
      <c r="T32" s="1">
        <v>2.4818154100788399</v>
      </c>
      <c r="U32" t="s">
        <v>118</v>
      </c>
      <c r="V32" s="1">
        <v>1</v>
      </c>
    </row>
    <row r="33" spans="1:22" x14ac:dyDescent="0.2">
      <c r="A33">
        <v>20</v>
      </c>
      <c r="B33" t="s">
        <v>64</v>
      </c>
      <c r="C33" t="s">
        <v>40</v>
      </c>
      <c r="D33" t="s">
        <v>49</v>
      </c>
      <c r="E33">
        <v>1</v>
      </c>
      <c r="F33">
        <v>91</v>
      </c>
      <c r="G33">
        <v>50</v>
      </c>
      <c r="H33">
        <v>32</v>
      </c>
      <c r="I33" s="2">
        <v>44389</v>
      </c>
      <c r="J33">
        <v>76236</v>
      </c>
      <c r="K33">
        <v>3.5090400000000002</v>
      </c>
      <c r="L33" t="s">
        <v>50</v>
      </c>
      <c r="M33" s="1">
        <v>0.18466666666666701</v>
      </c>
      <c r="N33" s="1">
        <v>0.21966666666666701</v>
      </c>
      <c r="O33" s="1">
        <v>3.5000000000000003E-2</v>
      </c>
      <c r="P33" s="1">
        <v>3.355</v>
      </c>
      <c r="Q33" s="1">
        <v>0.98388888888888903</v>
      </c>
      <c r="R33" s="1">
        <v>762.944444444444</v>
      </c>
      <c r="S33" s="1">
        <v>7.6294444444444402E-4</v>
      </c>
      <c r="T33" s="1">
        <v>1.9544163693293499</v>
      </c>
      <c r="U33" t="s">
        <v>118</v>
      </c>
      <c r="V33" s="1">
        <v>1</v>
      </c>
    </row>
    <row r="34" spans="1:22" x14ac:dyDescent="0.2">
      <c r="A34">
        <v>21</v>
      </c>
      <c r="B34" t="s">
        <v>65</v>
      </c>
      <c r="C34" t="s">
        <v>40</v>
      </c>
      <c r="D34" t="s">
        <v>49</v>
      </c>
      <c r="E34">
        <v>1</v>
      </c>
      <c r="F34">
        <v>92</v>
      </c>
      <c r="G34">
        <v>49</v>
      </c>
      <c r="H34">
        <v>30</v>
      </c>
      <c r="I34" s="2">
        <v>44389</v>
      </c>
      <c r="J34">
        <v>70811</v>
      </c>
      <c r="K34">
        <v>3.2920400000000001</v>
      </c>
      <c r="L34" t="s">
        <v>50</v>
      </c>
      <c r="M34" s="1">
        <v>0.13077777777777799</v>
      </c>
      <c r="N34" s="1">
        <v>0.17388888888888901</v>
      </c>
      <c r="O34" s="1">
        <v>4.31111111111111E-2</v>
      </c>
      <c r="P34" s="1">
        <v>3.62266666666667</v>
      </c>
      <c r="Q34" s="1">
        <v>0.88666666666666705</v>
      </c>
      <c r="R34" s="1">
        <v>539.33333333333303</v>
      </c>
      <c r="S34" s="1">
        <v>5.3933333333333296E-4</v>
      </c>
      <c r="T34" s="1">
        <v>2.98530421645378</v>
      </c>
      <c r="U34" t="s">
        <v>118</v>
      </c>
      <c r="V34" s="1">
        <v>1</v>
      </c>
    </row>
    <row r="35" spans="1:22" x14ac:dyDescent="0.2">
      <c r="A35">
        <v>22</v>
      </c>
      <c r="B35" t="s">
        <v>66</v>
      </c>
      <c r="C35" t="s">
        <v>40</v>
      </c>
      <c r="D35" t="s">
        <v>49</v>
      </c>
      <c r="E35">
        <v>1</v>
      </c>
      <c r="F35">
        <v>93</v>
      </c>
      <c r="G35">
        <v>55</v>
      </c>
      <c r="H35">
        <v>30</v>
      </c>
      <c r="I35" s="2">
        <v>44389</v>
      </c>
      <c r="J35">
        <v>80346</v>
      </c>
      <c r="K35">
        <v>3.6734399999999998</v>
      </c>
      <c r="L35" t="s">
        <v>50</v>
      </c>
      <c r="M35" s="1">
        <v>0.14555555555555599</v>
      </c>
      <c r="N35" s="1">
        <v>0.17499999999999999</v>
      </c>
      <c r="O35" s="1">
        <v>2.9444444444444402E-2</v>
      </c>
      <c r="P35" s="1">
        <v>3.17166666666667</v>
      </c>
      <c r="Q35" s="1">
        <v>0.86366666666666703</v>
      </c>
      <c r="R35" s="1">
        <v>486.433333333333</v>
      </c>
      <c r="S35" s="1">
        <v>4.8643333333333298E-4</v>
      </c>
      <c r="T35" s="1">
        <v>2.89788863762687</v>
      </c>
      <c r="U35" t="s">
        <v>118</v>
      </c>
      <c r="V35" s="1">
        <v>1</v>
      </c>
    </row>
    <row r="36" spans="1:22" x14ac:dyDescent="0.2">
      <c r="A36">
        <v>23</v>
      </c>
      <c r="B36" t="s">
        <v>67</v>
      </c>
      <c r="C36" t="s">
        <v>40</v>
      </c>
      <c r="D36" t="s">
        <v>49</v>
      </c>
      <c r="E36">
        <v>1</v>
      </c>
      <c r="F36">
        <v>99</v>
      </c>
      <c r="G36">
        <v>56</v>
      </c>
      <c r="H36">
        <v>32</v>
      </c>
      <c r="I36" s="2">
        <v>44389</v>
      </c>
      <c r="J36">
        <v>92891</v>
      </c>
      <c r="K36">
        <v>4.1752399999999996</v>
      </c>
      <c r="L36" t="s">
        <v>50</v>
      </c>
      <c r="M36" s="1">
        <v>0.18759999999999999</v>
      </c>
      <c r="N36" s="1">
        <v>0.20680000000000001</v>
      </c>
      <c r="O36" s="1">
        <v>1.9199999999999998E-2</v>
      </c>
      <c r="P36" s="1">
        <v>2.8336000000000001</v>
      </c>
      <c r="Q36" s="1">
        <v>1.00216666666667</v>
      </c>
      <c r="R36" s="1">
        <v>804.98333333333301</v>
      </c>
      <c r="S36" s="1">
        <v>8.0498333333333305E-4</v>
      </c>
      <c r="T36" s="1">
        <v>1.56447683526919</v>
      </c>
      <c r="U36" t="s">
        <v>118</v>
      </c>
      <c r="V36" s="1">
        <v>1</v>
      </c>
    </row>
    <row r="37" spans="1:22" x14ac:dyDescent="0.2">
      <c r="A37">
        <v>31</v>
      </c>
      <c r="B37" t="s">
        <v>79</v>
      </c>
      <c r="C37" t="s">
        <v>69</v>
      </c>
      <c r="D37" t="s">
        <v>80</v>
      </c>
      <c r="E37">
        <v>1</v>
      </c>
      <c r="F37">
        <v>79</v>
      </c>
      <c r="G37">
        <v>51</v>
      </c>
      <c r="H37">
        <v>26</v>
      </c>
      <c r="I37" s="2">
        <v>44389</v>
      </c>
      <c r="J37">
        <v>54849</v>
      </c>
      <c r="K37">
        <v>2.6535600000000001</v>
      </c>
      <c r="L37" t="s">
        <v>81</v>
      </c>
      <c r="M37" s="1">
        <v>0.19066666666666701</v>
      </c>
      <c r="N37" s="1">
        <v>0.21766666666666701</v>
      </c>
      <c r="O37" s="1">
        <v>2.7E-2</v>
      </c>
      <c r="P37" s="1">
        <v>3.0910000000000002</v>
      </c>
      <c r="Q37" s="1">
        <v>1.01433333333333</v>
      </c>
      <c r="R37" s="1">
        <v>832.96666666666704</v>
      </c>
      <c r="S37" s="1">
        <v>8.3296666666666695E-4</v>
      </c>
      <c r="T37" s="1">
        <v>1.6492590072965401</v>
      </c>
      <c r="U37" t="s">
        <v>134</v>
      </c>
      <c r="V37" s="1">
        <v>0</v>
      </c>
    </row>
    <row r="38" spans="1:22" x14ac:dyDescent="0.2">
      <c r="A38">
        <v>32</v>
      </c>
      <c r="B38" t="s">
        <v>82</v>
      </c>
      <c r="C38" t="s">
        <v>69</v>
      </c>
      <c r="D38" t="s">
        <v>80</v>
      </c>
      <c r="E38">
        <v>1</v>
      </c>
      <c r="F38">
        <v>83</v>
      </c>
      <c r="G38">
        <v>65</v>
      </c>
      <c r="H38">
        <v>32</v>
      </c>
      <c r="I38" s="2">
        <v>44389</v>
      </c>
      <c r="J38">
        <v>90394</v>
      </c>
      <c r="K38">
        <v>4.0753599999999999</v>
      </c>
      <c r="L38" t="s">
        <v>81</v>
      </c>
      <c r="M38" s="1">
        <v>0.21616666666666701</v>
      </c>
      <c r="N38" s="1">
        <v>0.28083333333333299</v>
      </c>
      <c r="O38" s="1">
        <v>6.4666666666666706E-2</v>
      </c>
      <c r="P38" s="1">
        <v>4.3339999999999996</v>
      </c>
      <c r="Q38" s="1">
        <v>1.054</v>
      </c>
      <c r="R38" s="1">
        <v>924.2</v>
      </c>
      <c r="S38" s="1">
        <v>9.2420000000000002E-4</v>
      </c>
      <c r="T38" s="1">
        <v>2.0842049580417901</v>
      </c>
      <c r="U38" t="s">
        <v>134</v>
      </c>
      <c r="V38" s="1">
        <v>0</v>
      </c>
    </row>
    <row r="39" spans="1:22" x14ac:dyDescent="0.2">
      <c r="A39">
        <v>33</v>
      </c>
      <c r="B39" t="s">
        <v>83</v>
      </c>
      <c r="C39" t="s">
        <v>69</v>
      </c>
      <c r="D39" t="s">
        <v>80</v>
      </c>
      <c r="E39">
        <v>1</v>
      </c>
      <c r="F39">
        <v>79</v>
      </c>
      <c r="G39">
        <v>58</v>
      </c>
      <c r="H39">
        <v>30</v>
      </c>
      <c r="I39" s="2">
        <v>44389</v>
      </c>
      <c r="J39">
        <v>71974</v>
      </c>
      <c r="K39">
        <v>3.3385600000000002</v>
      </c>
      <c r="L39" t="s">
        <v>81</v>
      </c>
      <c r="M39" s="1">
        <v>0.234333333333333</v>
      </c>
      <c r="N39" s="1">
        <v>0.255</v>
      </c>
      <c r="O39" s="1">
        <v>2.0666666666666701E-2</v>
      </c>
      <c r="P39" s="1">
        <v>2.8820000000000001</v>
      </c>
      <c r="Q39" s="1">
        <v>0.98299999999999998</v>
      </c>
      <c r="R39" s="1">
        <v>760.9</v>
      </c>
      <c r="S39" s="1">
        <v>7.6090000000000001E-4</v>
      </c>
      <c r="T39" s="1">
        <v>1.68338663278866</v>
      </c>
      <c r="U39" t="s">
        <v>134</v>
      </c>
      <c r="V39" s="1">
        <v>0</v>
      </c>
    </row>
    <row r="40" spans="1:22" x14ac:dyDescent="0.2">
      <c r="A40">
        <v>34</v>
      </c>
      <c r="B40" t="s">
        <v>84</v>
      </c>
      <c r="C40" t="s">
        <v>69</v>
      </c>
      <c r="D40" t="s">
        <v>80</v>
      </c>
      <c r="E40">
        <v>1</v>
      </c>
      <c r="F40">
        <v>63</v>
      </c>
      <c r="G40">
        <v>61</v>
      </c>
      <c r="H40">
        <v>26</v>
      </c>
      <c r="I40" s="2">
        <v>44389</v>
      </c>
      <c r="J40">
        <v>52317</v>
      </c>
      <c r="K40">
        <v>2.5522800000000001</v>
      </c>
      <c r="L40" t="s">
        <v>81</v>
      </c>
      <c r="M40" s="1">
        <v>0.39250000000000002</v>
      </c>
      <c r="N40" s="1">
        <v>0.45183333333333298</v>
      </c>
      <c r="O40" s="1">
        <v>5.93333333333333E-2</v>
      </c>
      <c r="P40" s="1">
        <v>4.1580000000000004</v>
      </c>
      <c r="Q40" s="1">
        <v>1.2151666666666701</v>
      </c>
      <c r="R40" s="1">
        <v>1294.88333333333</v>
      </c>
      <c r="S40" s="1">
        <v>1.2948833333333301E-3</v>
      </c>
      <c r="T40" s="1">
        <v>1.4271555996035701</v>
      </c>
      <c r="U40" t="s">
        <v>134</v>
      </c>
      <c r="V40" s="1">
        <v>0</v>
      </c>
    </row>
    <row r="41" spans="1:22" x14ac:dyDescent="0.2">
      <c r="A41">
        <v>35</v>
      </c>
      <c r="B41" t="s">
        <v>85</v>
      </c>
      <c r="C41" t="s">
        <v>69</v>
      </c>
      <c r="D41" t="s">
        <v>80</v>
      </c>
      <c r="E41">
        <v>1</v>
      </c>
      <c r="F41">
        <v>89</v>
      </c>
      <c r="G41">
        <v>74</v>
      </c>
      <c r="H41">
        <v>35</v>
      </c>
      <c r="I41" s="2">
        <v>44389</v>
      </c>
      <c r="J41">
        <v>120695</v>
      </c>
      <c r="K41">
        <v>5.2873999999999999</v>
      </c>
      <c r="L41" t="s">
        <v>81</v>
      </c>
      <c r="M41" s="1">
        <v>0.28611111111111098</v>
      </c>
      <c r="N41" s="1">
        <v>0.31622222222222202</v>
      </c>
      <c r="O41" s="1">
        <v>3.0111111111111099E-2</v>
      </c>
      <c r="P41" s="1">
        <v>3.1936666666666702</v>
      </c>
      <c r="Q41" s="1">
        <v>1.105</v>
      </c>
      <c r="R41" s="1">
        <v>1041.5</v>
      </c>
      <c r="S41" s="1">
        <v>1.0415000000000001E-3</v>
      </c>
      <c r="T41" s="1">
        <v>1.36284916697783</v>
      </c>
      <c r="U41" t="s">
        <v>134</v>
      </c>
      <c r="V41" s="1">
        <v>0</v>
      </c>
    </row>
    <row r="42" spans="1:22" x14ac:dyDescent="0.2">
      <c r="A42">
        <v>36</v>
      </c>
      <c r="B42" t="s">
        <v>86</v>
      </c>
      <c r="C42" t="s">
        <v>69</v>
      </c>
      <c r="D42" t="s">
        <v>80</v>
      </c>
      <c r="E42">
        <v>1</v>
      </c>
      <c r="F42">
        <v>80</v>
      </c>
      <c r="G42">
        <v>52</v>
      </c>
      <c r="H42">
        <v>35</v>
      </c>
      <c r="I42" s="2">
        <v>44389</v>
      </c>
      <c r="J42">
        <v>76236</v>
      </c>
      <c r="K42">
        <v>3.5090400000000002</v>
      </c>
      <c r="L42" t="s">
        <v>81</v>
      </c>
      <c r="M42" s="1">
        <v>0.37674999999999997</v>
      </c>
      <c r="N42" s="1">
        <v>0.42958333333333298</v>
      </c>
      <c r="O42" s="1">
        <v>5.2833333333333302E-2</v>
      </c>
      <c r="P42" s="1">
        <v>3.9434999999999998</v>
      </c>
      <c r="Q42" s="1">
        <v>1.1539999999999999</v>
      </c>
      <c r="R42" s="1">
        <v>1154.2</v>
      </c>
      <c r="S42" s="1">
        <v>1.1542E-3</v>
      </c>
      <c r="T42" s="1">
        <v>1.51851210073355</v>
      </c>
      <c r="U42" t="s">
        <v>134</v>
      </c>
      <c r="V42" s="1">
        <v>0</v>
      </c>
    </row>
    <row r="43" spans="1:22" x14ac:dyDescent="0.2">
      <c r="A43">
        <v>37</v>
      </c>
      <c r="B43" t="s">
        <v>87</v>
      </c>
      <c r="C43" t="s">
        <v>69</v>
      </c>
      <c r="D43" t="s">
        <v>80</v>
      </c>
      <c r="E43">
        <v>1</v>
      </c>
      <c r="F43">
        <v>84</v>
      </c>
      <c r="G43">
        <v>57</v>
      </c>
      <c r="H43">
        <v>35</v>
      </c>
      <c r="I43" s="2">
        <v>44389</v>
      </c>
      <c r="J43">
        <v>87745</v>
      </c>
      <c r="K43">
        <v>3.9693999999999998</v>
      </c>
      <c r="L43" t="s">
        <v>81</v>
      </c>
      <c r="M43" s="1">
        <v>0.22083333333333299</v>
      </c>
      <c r="N43" s="1">
        <v>0.28849999999999998</v>
      </c>
      <c r="O43" s="1">
        <v>6.7666666666666694E-2</v>
      </c>
      <c r="P43" s="1">
        <v>4.4329999999999998</v>
      </c>
      <c r="Q43" s="1">
        <v>1.101</v>
      </c>
      <c r="R43" s="1">
        <v>1032.3</v>
      </c>
      <c r="S43" s="1">
        <v>1.0323000000000001E-3</v>
      </c>
      <c r="T43" s="1">
        <v>1.90857524190858</v>
      </c>
      <c r="U43" t="s">
        <v>134</v>
      </c>
      <c r="V43" s="1">
        <v>0</v>
      </c>
    </row>
    <row r="44" spans="1:22" x14ac:dyDescent="0.2">
      <c r="A44">
        <v>42</v>
      </c>
      <c r="B44" t="s">
        <v>92</v>
      </c>
      <c r="C44" t="s">
        <v>69</v>
      </c>
      <c r="D44" t="s">
        <v>80</v>
      </c>
      <c r="E44">
        <v>1</v>
      </c>
      <c r="F44">
        <v>83</v>
      </c>
      <c r="G44">
        <v>52</v>
      </c>
      <c r="H44">
        <v>30</v>
      </c>
      <c r="I44" s="2">
        <v>44389</v>
      </c>
      <c r="J44">
        <v>67796</v>
      </c>
      <c r="K44">
        <v>3.17144</v>
      </c>
      <c r="L44" t="s">
        <v>81</v>
      </c>
      <c r="M44" s="1">
        <v>0.20433333333333301</v>
      </c>
      <c r="N44" s="1">
        <v>0.22566666666666699</v>
      </c>
      <c r="O44" s="1">
        <v>2.1333333333333301E-2</v>
      </c>
      <c r="P44" s="1">
        <v>2.9039999999999999</v>
      </c>
      <c r="Q44" s="1">
        <v>0.98766666666666703</v>
      </c>
      <c r="R44" s="1">
        <v>771.63333333333298</v>
      </c>
      <c r="S44" s="1">
        <v>7.7163333333333303E-4</v>
      </c>
      <c r="T44" s="1">
        <v>1.6726424467579599</v>
      </c>
      <c r="U44" t="s">
        <v>134</v>
      </c>
      <c r="V44" s="1">
        <v>0</v>
      </c>
    </row>
    <row r="45" spans="1:22" x14ac:dyDescent="0.2">
      <c r="A45">
        <v>43</v>
      </c>
      <c r="B45" t="s">
        <v>93</v>
      </c>
      <c r="C45" t="s">
        <v>69</v>
      </c>
      <c r="D45" t="s">
        <v>80</v>
      </c>
      <c r="E45">
        <v>1</v>
      </c>
      <c r="F45">
        <v>81</v>
      </c>
      <c r="G45">
        <v>51</v>
      </c>
      <c r="H45">
        <v>31</v>
      </c>
      <c r="I45" s="2">
        <v>44389</v>
      </c>
      <c r="J45">
        <v>67053</v>
      </c>
      <c r="K45">
        <v>3.1417199999999998</v>
      </c>
      <c r="L45" t="s">
        <v>81</v>
      </c>
      <c r="M45" s="1">
        <v>0.36066666666666702</v>
      </c>
      <c r="N45" s="1">
        <v>0.49166666666666697</v>
      </c>
      <c r="O45" s="1">
        <v>0.13100000000000001</v>
      </c>
      <c r="P45" s="1">
        <v>6.5229999999999997</v>
      </c>
      <c r="Q45" s="1">
        <v>0.93400000000000005</v>
      </c>
      <c r="R45" s="1">
        <v>648.20000000000005</v>
      </c>
      <c r="S45" s="1">
        <v>6.4820000000000003E-4</v>
      </c>
      <c r="T45" s="1">
        <v>4.4725564811957899</v>
      </c>
      <c r="U45" t="s">
        <v>134</v>
      </c>
      <c r="V45" s="1">
        <v>0</v>
      </c>
    </row>
    <row r="46" spans="1:22" x14ac:dyDescent="0.2">
      <c r="A46">
        <v>44</v>
      </c>
      <c r="B46" t="s">
        <v>94</v>
      </c>
      <c r="C46" t="s">
        <v>69</v>
      </c>
      <c r="D46" t="s">
        <v>80</v>
      </c>
      <c r="E46">
        <v>1</v>
      </c>
      <c r="F46">
        <v>88</v>
      </c>
      <c r="G46">
        <v>63</v>
      </c>
      <c r="H46">
        <v>29</v>
      </c>
      <c r="I46" s="2">
        <v>44389</v>
      </c>
      <c r="J46">
        <v>84182</v>
      </c>
      <c r="K46">
        <v>3.8268800000000001</v>
      </c>
      <c r="L46" t="s">
        <v>81</v>
      </c>
      <c r="M46" s="1">
        <v>0.32233333333333303</v>
      </c>
      <c r="N46" s="1">
        <v>0.38233333333333303</v>
      </c>
      <c r="O46" s="1">
        <v>5.9999999999999901E-2</v>
      </c>
      <c r="P46" s="1">
        <v>4.18</v>
      </c>
      <c r="Q46" s="1">
        <v>1.15211111111111</v>
      </c>
      <c r="R46" s="1">
        <v>1149.8555555555599</v>
      </c>
      <c r="S46" s="1">
        <v>1.1498555555555601E-3</v>
      </c>
      <c r="T46" s="1">
        <v>1.6156618705731101</v>
      </c>
      <c r="U46" t="s">
        <v>134</v>
      </c>
      <c r="V46" s="1">
        <v>0</v>
      </c>
    </row>
    <row r="47" spans="1:22" x14ac:dyDescent="0.2">
      <c r="A47">
        <v>45</v>
      </c>
      <c r="B47" t="s">
        <v>95</v>
      </c>
      <c r="C47" t="s">
        <v>69</v>
      </c>
      <c r="D47" t="s">
        <v>80</v>
      </c>
      <c r="E47">
        <v>1</v>
      </c>
      <c r="F47">
        <v>66</v>
      </c>
      <c r="G47">
        <v>51</v>
      </c>
      <c r="H47">
        <v>30</v>
      </c>
      <c r="I47" s="2">
        <v>44389</v>
      </c>
      <c r="J47">
        <v>52873</v>
      </c>
      <c r="K47">
        <v>2.5745200000000001</v>
      </c>
      <c r="L47" t="s">
        <v>81</v>
      </c>
      <c r="M47" s="1">
        <v>0.32516666666666699</v>
      </c>
      <c r="N47" s="1">
        <v>0.358333333333333</v>
      </c>
      <c r="O47" s="1">
        <v>3.3166666666666698E-2</v>
      </c>
      <c r="P47" s="1">
        <v>3.2945000000000002</v>
      </c>
      <c r="Q47" s="1">
        <v>1.13866666666667</v>
      </c>
      <c r="R47" s="1">
        <v>1118.93333333333</v>
      </c>
      <c r="S47" s="1">
        <v>1.11893333333333E-3</v>
      </c>
      <c r="T47" s="1">
        <v>1.3085875436924099</v>
      </c>
      <c r="U47" t="s">
        <v>134</v>
      </c>
      <c r="V47" s="1">
        <v>0</v>
      </c>
    </row>
    <row r="48" spans="1:22" x14ac:dyDescent="0.2">
      <c r="A48">
        <v>58</v>
      </c>
      <c r="B48" t="s">
        <v>107</v>
      </c>
      <c r="C48" t="s">
        <v>69</v>
      </c>
      <c r="D48" t="s">
        <v>56</v>
      </c>
      <c r="E48">
        <v>2</v>
      </c>
      <c r="F48">
        <v>81</v>
      </c>
      <c r="G48">
        <v>55</v>
      </c>
      <c r="H48">
        <v>29</v>
      </c>
      <c r="I48" s="2">
        <v>44390</v>
      </c>
      <c r="J48">
        <v>67646</v>
      </c>
      <c r="K48">
        <v>3.1654399999999998</v>
      </c>
      <c r="L48" t="s">
        <v>108</v>
      </c>
      <c r="M48" s="1">
        <v>0.35966666666666702</v>
      </c>
      <c r="N48" s="1">
        <v>0.44350000000000001</v>
      </c>
      <c r="O48" s="1">
        <v>8.3833333333333399E-2</v>
      </c>
      <c r="P48" s="1">
        <v>4.9664999999999999</v>
      </c>
      <c r="Q48" s="1">
        <v>1.1686666666666701</v>
      </c>
      <c r="R48" s="1">
        <v>1187.93333333333</v>
      </c>
      <c r="S48" s="1">
        <v>1.1879333333333301E-3</v>
      </c>
      <c r="T48" s="1">
        <v>1.8581289634659599</v>
      </c>
      <c r="U48" t="s">
        <v>118</v>
      </c>
      <c r="V48" s="1">
        <v>2</v>
      </c>
    </row>
    <row r="49" spans="1:22" x14ac:dyDescent="0.2">
      <c r="A49">
        <v>59</v>
      </c>
      <c r="B49" t="s">
        <v>109</v>
      </c>
      <c r="C49" t="s">
        <v>69</v>
      </c>
      <c r="D49" t="s">
        <v>56</v>
      </c>
      <c r="E49">
        <v>2</v>
      </c>
      <c r="F49">
        <v>72</v>
      </c>
      <c r="G49">
        <v>42</v>
      </c>
      <c r="H49">
        <v>28</v>
      </c>
      <c r="I49" s="2">
        <v>44390</v>
      </c>
      <c r="J49">
        <v>44334</v>
      </c>
      <c r="K49">
        <v>2.2329599999999998</v>
      </c>
      <c r="L49" t="s">
        <v>108</v>
      </c>
      <c r="M49" s="1">
        <v>0.38</v>
      </c>
      <c r="N49" s="1">
        <v>0.53800000000000003</v>
      </c>
      <c r="O49" s="1">
        <v>0.158</v>
      </c>
      <c r="P49" s="1">
        <v>7.4139999999999997</v>
      </c>
      <c r="Q49" s="1">
        <v>0.96866666666666701</v>
      </c>
      <c r="R49" s="1">
        <v>727.93333333333305</v>
      </c>
      <c r="S49" s="1">
        <v>7.2793333333333299E-4</v>
      </c>
      <c r="T49" s="1">
        <v>4.5266660561101402</v>
      </c>
      <c r="U49" t="s">
        <v>118</v>
      </c>
      <c r="V49" s="1">
        <v>2</v>
      </c>
    </row>
    <row r="50" spans="1:22" x14ac:dyDescent="0.2">
      <c r="A50">
        <v>60</v>
      </c>
      <c r="B50" t="s">
        <v>110</v>
      </c>
      <c r="C50" t="s">
        <v>69</v>
      </c>
      <c r="D50" t="s">
        <v>56</v>
      </c>
      <c r="E50">
        <v>2</v>
      </c>
      <c r="F50">
        <v>87</v>
      </c>
      <c r="G50">
        <v>66</v>
      </c>
      <c r="H50">
        <v>31</v>
      </c>
      <c r="I50" s="2">
        <v>44390</v>
      </c>
      <c r="J50">
        <v>93202</v>
      </c>
      <c r="K50">
        <v>4.1876800000000003</v>
      </c>
      <c r="L50" t="s">
        <v>108</v>
      </c>
      <c r="M50" s="1">
        <v>0.30266666666666697</v>
      </c>
      <c r="N50" s="1">
        <v>0.398666666666667</v>
      </c>
      <c r="O50" s="1">
        <v>9.6000000000000002E-2</v>
      </c>
      <c r="P50" s="1">
        <v>5.3680000000000003</v>
      </c>
      <c r="Q50" s="1">
        <v>0.81133333333333302</v>
      </c>
      <c r="R50" s="1">
        <v>366.066666666667</v>
      </c>
      <c r="S50" s="1">
        <v>3.6606666666666698E-4</v>
      </c>
      <c r="T50" s="1">
        <v>6.5173313907606403</v>
      </c>
      <c r="U50" t="s">
        <v>118</v>
      </c>
      <c r="V50" s="1">
        <v>2</v>
      </c>
    </row>
    <row r="51" spans="1:22" x14ac:dyDescent="0.2">
      <c r="A51">
        <v>61</v>
      </c>
      <c r="B51" t="s">
        <v>111</v>
      </c>
      <c r="C51" t="s">
        <v>69</v>
      </c>
      <c r="D51" t="s">
        <v>56</v>
      </c>
      <c r="E51">
        <v>2</v>
      </c>
      <c r="F51">
        <v>74</v>
      </c>
      <c r="G51">
        <v>51</v>
      </c>
      <c r="H51">
        <v>32</v>
      </c>
      <c r="I51" s="2">
        <v>44390</v>
      </c>
      <c r="J51">
        <v>63234</v>
      </c>
      <c r="K51">
        <v>2.9889600000000001</v>
      </c>
      <c r="L51" t="s">
        <v>108</v>
      </c>
      <c r="M51" s="1">
        <v>0.29866666666666702</v>
      </c>
      <c r="N51" s="1">
        <v>0.35966666666666702</v>
      </c>
      <c r="O51" s="1">
        <v>6.0999999999999999E-2</v>
      </c>
      <c r="P51" s="1">
        <v>4.2130000000000001</v>
      </c>
      <c r="Q51" s="1">
        <v>0.92600000000000005</v>
      </c>
      <c r="R51" s="1">
        <v>629.79999999999995</v>
      </c>
      <c r="S51" s="1">
        <v>6.2980000000000002E-4</v>
      </c>
      <c r="T51" s="1">
        <v>2.9730778730461198</v>
      </c>
      <c r="U51" t="s">
        <v>118</v>
      </c>
      <c r="V51" s="1">
        <v>2</v>
      </c>
    </row>
    <row r="52" spans="1:22" x14ac:dyDescent="0.2">
      <c r="A52">
        <v>62</v>
      </c>
      <c r="B52" t="s">
        <v>112</v>
      </c>
      <c r="C52" t="s">
        <v>69</v>
      </c>
      <c r="D52" t="s">
        <v>56</v>
      </c>
      <c r="E52">
        <v>2</v>
      </c>
      <c r="F52">
        <v>93</v>
      </c>
      <c r="G52">
        <v>80</v>
      </c>
      <c r="H52">
        <v>38</v>
      </c>
      <c r="I52" s="2">
        <v>44390</v>
      </c>
      <c r="J52">
        <v>148032</v>
      </c>
      <c r="K52">
        <v>6.3808800000000003</v>
      </c>
      <c r="L52" t="s">
        <v>108</v>
      </c>
      <c r="M52" s="1">
        <v>0.398666666666667</v>
      </c>
      <c r="N52" s="1">
        <v>0.49277777777777798</v>
      </c>
      <c r="O52" s="1">
        <v>9.4111111111111104E-2</v>
      </c>
      <c r="P52" s="1">
        <v>5.3056666666666699</v>
      </c>
      <c r="Q52" s="1">
        <v>1.0525</v>
      </c>
      <c r="R52" s="1">
        <v>920.75</v>
      </c>
      <c r="S52" s="1">
        <v>9.2075000000000002E-4</v>
      </c>
      <c r="T52" s="1">
        <v>2.56103619231504</v>
      </c>
      <c r="U52" t="s">
        <v>118</v>
      </c>
      <c r="V52" s="1">
        <v>2</v>
      </c>
    </row>
    <row r="53" spans="1:22" x14ac:dyDescent="0.2">
      <c r="A53">
        <v>63</v>
      </c>
      <c r="B53" t="s">
        <v>113</v>
      </c>
      <c r="C53" t="s">
        <v>69</v>
      </c>
      <c r="D53" t="s">
        <v>56</v>
      </c>
      <c r="E53">
        <v>2</v>
      </c>
      <c r="F53">
        <v>99</v>
      </c>
      <c r="G53">
        <v>65</v>
      </c>
      <c r="H53">
        <v>36</v>
      </c>
      <c r="I53" s="2">
        <v>44390</v>
      </c>
      <c r="J53">
        <v>121297</v>
      </c>
      <c r="K53">
        <v>5.3114800000000004</v>
      </c>
      <c r="L53" t="s">
        <v>108</v>
      </c>
      <c r="M53" s="1">
        <v>0.22266666666666701</v>
      </c>
      <c r="N53" s="1">
        <v>0.25933333333333303</v>
      </c>
      <c r="O53" s="1">
        <v>3.6666666666666702E-2</v>
      </c>
      <c r="P53" s="1">
        <v>3.41</v>
      </c>
      <c r="Q53" s="1">
        <v>1.0656666666666701</v>
      </c>
      <c r="R53" s="1">
        <v>951.03333333333399</v>
      </c>
      <c r="S53" s="1">
        <v>9.5103333333333403E-4</v>
      </c>
      <c r="T53" s="1">
        <v>1.59358826072225</v>
      </c>
      <c r="U53" t="s">
        <v>118</v>
      </c>
      <c r="V53" s="1">
        <v>2</v>
      </c>
    </row>
    <row r="54" spans="1:22" x14ac:dyDescent="0.2">
      <c r="A54">
        <v>64</v>
      </c>
      <c r="B54" t="s">
        <v>114</v>
      </c>
      <c r="C54" t="s">
        <v>69</v>
      </c>
      <c r="D54" t="s">
        <v>56</v>
      </c>
      <c r="E54">
        <v>2</v>
      </c>
      <c r="F54">
        <v>80</v>
      </c>
      <c r="G54">
        <v>76</v>
      </c>
      <c r="H54">
        <v>27</v>
      </c>
      <c r="I54" s="2">
        <v>44390</v>
      </c>
      <c r="J54">
        <v>85954</v>
      </c>
      <c r="K54">
        <v>3.8977599999999999</v>
      </c>
      <c r="L54" t="s">
        <v>108</v>
      </c>
      <c r="M54" s="1">
        <v>0.1925</v>
      </c>
      <c r="N54" s="1">
        <v>0.27024999999999999</v>
      </c>
      <c r="O54" s="1">
        <v>7.775E-2</v>
      </c>
      <c r="P54" s="1">
        <v>4.7657499999999997</v>
      </c>
      <c r="Q54" s="1">
        <v>0.86216666666666697</v>
      </c>
      <c r="R54" s="1">
        <v>482.98333333333301</v>
      </c>
      <c r="S54" s="1">
        <v>4.8298333333333298E-4</v>
      </c>
      <c r="T54" s="1">
        <v>4.3854745390340097</v>
      </c>
      <c r="U54" t="s">
        <v>118</v>
      </c>
      <c r="V54" s="1">
        <v>2</v>
      </c>
    </row>
    <row r="55" spans="1:22" x14ac:dyDescent="0.2">
      <c r="A55">
        <v>65</v>
      </c>
      <c r="B55" t="s">
        <v>115</v>
      </c>
      <c r="C55" t="s">
        <v>69</v>
      </c>
      <c r="D55" t="s">
        <v>56</v>
      </c>
      <c r="E55">
        <v>2</v>
      </c>
      <c r="F55">
        <v>73</v>
      </c>
      <c r="G55">
        <v>53</v>
      </c>
      <c r="H55">
        <v>29</v>
      </c>
      <c r="I55" s="2">
        <v>44390</v>
      </c>
      <c r="J55">
        <v>58748</v>
      </c>
      <c r="K55">
        <v>2.80952</v>
      </c>
      <c r="L55" t="s">
        <v>108</v>
      </c>
      <c r="M55" s="1">
        <v>0.185</v>
      </c>
      <c r="N55" s="1">
        <v>0.19700000000000001</v>
      </c>
      <c r="O55" s="1">
        <v>1.2E-2</v>
      </c>
      <c r="P55" s="1">
        <v>2.5960000000000001</v>
      </c>
      <c r="Q55" s="1">
        <v>0.80683333333333296</v>
      </c>
      <c r="R55" s="1">
        <v>355.71666666666601</v>
      </c>
      <c r="S55" s="1">
        <v>3.55716666666666E-4</v>
      </c>
      <c r="T55" s="1">
        <v>3.2435302753439901</v>
      </c>
      <c r="U55" t="s">
        <v>118</v>
      </c>
      <c r="V55" s="1">
        <v>2</v>
      </c>
    </row>
    <row r="56" spans="1:22" x14ac:dyDescent="0.2">
      <c r="A56">
        <v>66</v>
      </c>
      <c r="B56" t="s">
        <v>116</v>
      </c>
      <c r="C56" t="s">
        <v>69</v>
      </c>
      <c r="D56" t="s">
        <v>56</v>
      </c>
      <c r="E56">
        <v>2</v>
      </c>
      <c r="F56">
        <v>80</v>
      </c>
      <c r="G56">
        <v>62</v>
      </c>
      <c r="H56">
        <v>26</v>
      </c>
      <c r="I56" s="2">
        <v>44390</v>
      </c>
      <c r="J56">
        <v>67523</v>
      </c>
      <c r="K56">
        <v>3.16052</v>
      </c>
      <c r="L56" t="s">
        <v>108</v>
      </c>
      <c r="M56" s="1">
        <v>0.23150000000000001</v>
      </c>
      <c r="N56" s="1">
        <v>0.30266666666666697</v>
      </c>
      <c r="O56" s="1">
        <v>7.11666666666666E-2</v>
      </c>
      <c r="P56" s="1">
        <v>4.5484999999999998</v>
      </c>
      <c r="Q56" s="1">
        <v>1.1073333333333299</v>
      </c>
      <c r="R56" s="1">
        <v>1046.86666666667</v>
      </c>
      <c r="S56" s="1">
        <v>1.04686666666667E-3</v>
      </c>
      <c r="T56" s="1">
        <v>1.9310535141904901</v>
      </c>
      <c r="U56" t="s">
        <v>118</v>
      </c>
      <c r="V56" s="1">
        <v>2</v>
      </c>
    </row>
    <row r="57" spans="1:22" x14ac:dyDescent="0.2">
      <c r="A57">
        <v>67</v>
      </c>
      <c r="B57" t="s">
        <v>117</v>
      </c>
      <c r="C57" t="s">
        <v>69</v>
      </c>
      <c r="D57" t="s">
        <v>56</v>
      </c>
      <c r="E57">
        <v>2</v>
      </c>
      <c r="F57">
        <v>91</v>
      </c>
      <c r="G57">
        <v>76</v>
      </c>
      <c r="H57">
        <v>35</v>
      </c>
      <c r="I57" s="2">
        <v>44390</v>
      </c>
      <c r="J57">
        <v>126742</v>
      </c>
      <c r="K57">
        <v>5.52928</v>
      </c>
      <c r="L57" t="s">
        <v>108</v>
      </c>
      <c r="M57" s="1">
        <v>0.21199999999999999</v>
      </c>
      <c r="N57" s="1">
        <v>0.236666666666667</v>
      </c>
      <c r="O57" s="1">
        <v>2.4666666666666701E-2</v>
      </c>
      <c r="P57" s="1">
        <v>3.0139999999999998</v>
      </c>
      <c r="Q57" s="1">
        <v>0.86366666666666703</v>
      </c>
      <c r="R57" s="1">
        <v>486.433333333333</v>
      </c>
      <c r="S57" s="1">
        <v>4.8643333333333298E-4</v>
      </c>
      <c r="T57" s="1">
        <v>2.7538317458142001</v>
      </c>
      <c r="U57" t="s">
        <v>118</v>
      </c>
      <c r="V57" s="1">
        <v>2</v>
      </c>
    </row>
    <row r="58" spans="1:22" x14ac:dyDescent="0.2">
      <c r="A58">
        <v>24</v>
      </c>
      <c r="B58" t="s">
        <v>68</v>
      </c>
      <c r="C58" t="s">
        <v>69</v>
      </c>
      <c r="D58" t="s">
        <v>56</v>
      </c>
      <c r="E58">
        <v>1</v>
      </c>
      <c r="F58">
        <v>90</v>
      </c>
      <c r="G58">
        <v>71</v>
      </c>
      <c r="H58">
        <v>41</v>
      </c>
      <c r="I58" s="2">
        <v>44389</v>
      </c>
      <c r="J58">
        <v>137178</v>
      </c>
      <c r="K58">
        <v>5.94672</v>
      </c>
      <c r="L58" t="s">
        <v>70</v>
      </c>
      <c r="M58" s="1">
        <v>0.29416666666666702</v>
      </c>
      <c r="N58" s="1">
        <v>0.31116666666666698</v>
      </c>
      <c r="O58" s="1">
        <v>1.7000000000000001E-2</v>
      </c>
      <c r="P58" s="1">
        <v>2.7610000000000001</v>
      </c>
      <c r="Q58" s="1">
        <v>0.95550000000000002</v>
      </c>
      <c r="R58" s="1">
        <v>697.65</v>
      </c>
      <c r="S58" s="1">
        <v>6.9764999999999996E-4</v>
      </c>
      <c r="T58" s="1">
        <v>1.7589208214880101</v>
      </c>
      <c r="U58" t="s">
        <v>118</v>
      </c>
      <c r="V58" s="1">
        <v>1</v>
      </c>
    </row>
    <row r="59" spans="1:22" x14ac:dyDescent="0.2">
      <c r="A59">
        <v>25</v>
      </c>
      <c r="B59" t="s">
        <v>71</v>
      </c>
      <c r="C59" t="s">
        <v>69</v>
      </c>
      <c r="D59" t="s">
        <v>56</v>
      </c>
      <c r="E59">
        <v>1</v>
      </c>
      <c r="F59">
        <v>73</v>
      </c>
      <c r="G59">
        <v>53</v>
      </c>
      <c r="H59">
        <v>25</v>
      </c>
      <c r="I59" s="2">
        <v>44389</v>
      </c>
      <c r="J59">
        <v>50645</v>
      </c>
      <c r="K59">
        <v>2.4853999999999998</v>
      </c>
      <c r="L59" t="s">
        <v>70</v>
      </c>
      <c r="M59" s="1">
        <v>0.16800000000000001</v>
      </c>
      <c r="N59" s="1">
        <v>0.234333333333333</v>
      </c>
      <c r="O59" s="1">
        <v>6.6333333333333397E-2</v>
      </c>
      <c r="P59" s="1">
        <v>4.3890000000000002</v>
      </c>
      <c r="Q59" s="1">
        <v>0.87066666666666703</v>
      </c>
      <c r="R59" s="1">
        <v>502.53333333333302</v>
      </c>
      <c r="S59" s="1">
        <v>5.0253333333333304E-4</v>
      </c>
      <c r="T59" s="1">
        <v>3.88166622446272</v>
      </c>
      <c r="U59" t="s">
        <v>118</v>
      </c>
      <c r="V59" s="1">
        <v>1</v>
      </c>
    </row>
    <row r="60" spans="1:22" x14ac:dyDescent="0.2">
      <c r="A60">
        <v>26</v>
      </c>
      <c r="B60" t="s">
        <v>72</v>
      </c>
      <c r="C60" t="s">
        <v>69</v>
      </c>
      <c r="D60" t="s">
        <v>56</v>
      </c>
      <c r="E60">
        <v>1</v>
      </c>
      <c r="F60">
        <v>87</v>
      </c>
      <c r="G60">
        <v>56</v>
      </c>
      <c r="H60">
        <v>32</v>
      </c>
      <c r="I60" s="2">
        <v>44389</v>
      </c>
      <c r="J60">
        <v>81631</v>
      </c>
      <c r="K60">
        <v>3.7248399999999999</v>
      </c>
      <c r="L60" t="s">
        <v>70</v>
      </c>
      <c r="M60" s="1">
        <v>0.35799999999999998</v>
      </c>
      <c r="N60" s="1">
        <v>0.35599999999999998</v>
      </c>
      <c r="O60" s="1">
        <v>-2E-3</v>
      </c>
      <c r="P60" s="1">
        <v>2.1339999999999999</v>
      </c>
      <c r="Q60" s="1">
        <v>1.2506666666666699</v>
      </c>
      <c r="R60" s="1">
        <v>1376.5333333333299</v>
      </c>
      <c r="S60" s="1">
        <v>1.37653333333333E-3</v>
      </c>
      <c r="T60" s="1">
        <v>0.68900942787033403</v>
      </c>
      <c r="U60" t="s">
        <v>118</v>
      </c>
      <c r="V60" s="1">
        <v>1</v>
      </c>
    </row>
    <row r="61" spans="1:22" x14ac:dyDescent="0.2">
      <c r="A61">
        <v>27</v>
      </c>
      <c r="B61" t="s">
        <v>73</v>
      </c>
      <c r="C61" t="s">
        <v>69</v>
      </c>
      <c r="D61" t="s">
        <v>56</v>
      </c>
      <c r="E61">
        <v>1</v>
      </c>
      <c r="F61">
        <v>96</v>
      </c>
      <c r="G61">
        <v>74</v>
      </c>
      <c r="H61">
        <v>36</v>
      </c>
      <c r="I61" s="2">
        <v>44389</v>
      </c>
      <c r="J61">
        <v>133907</v>
      </c>
      <c r="K61">
        <v>5.8158799999999999</v>
      </c>
      <c r="L61" t="s">
        <v>70</v>
      </c>
      <c r="M61" s="1">
        <v>0.210666666666667</v>
      </c>
      <c r="N61" s="1">
        <v>0.269666666666667</v>
      </c>
      <c r="O61" s="1">
        <v>5.8999999999999997E-2</v>
      </c>
      <c r="P61" s="1">
        <v>4.1470000000000002</v>
      </c>
      <c r="Q61" s="1">
        <v>1.0900000000000001</v>
      </c>
      <c r="R61" s="1">
        <v>1007</v>
      </c>
      <c r="S61" s="1">
        <v>1.0070000000000001E-3</v>
      </c>
      <c r="T61" s="1">
        <v>1.8302990179852101</v>
      </c>
      <c r="U61" t="s">
        <v>118</v>
      </c>
      <c r="V61" s="1">
        <v>1</v>
      </c>
    </row>
    <row r="62" spans="1:22" x14ac:dyDescent="0.2">
      <c r="A62">
        <v>29</v>
      </c>
      <c r="B62" t="s">
        <v>77</v>
      </c>
      <c r="C62" t="s">
        <v>69</v>
      </c>
      <c r="D62" t="s">
        <v>56</v>
      </c>
      <c r="E62">
        <v>1</v>
      </c>
      <c r="F62">
        <v>73</v>
      </c>
      <c r="G62">
        <v>47</v>
      </c>
      <c r="H62">
        <v>26</v>
      </c>
      <c r="I62" s="2">
        <v>44389</v>
      </c>
      <c r="J62">
        <v>46708</v>
      </c>
      <c r="K62">
        <v>2.3279200000000002</v>
      </c>
      <c r="L62" t="s">
        <v>70</v>
      </c>
      <c r="M62" s="1">
        <v>0.205777777777778</v>
      </c>
      <c r="N62" s="1">
        <v>0.249444444444444</v>
      </c>
      <c r="O62" s="1">
        <v>4.3666666666666701E-2</v>
      </c>
      <c r="P62" s="1">
        <v>3.641</v>
      </c>
      <c r="Q62" s="1">
        <v>1.04066666666667</v>
      </c>
      <c r="R62" s="1">
        <v>893.53333333333296</v>
      </c>
      <c r="S62" s="1">
        <v>8.9353333333333301E-4</v>
      </c>
      <c r="T62" s="1">
        <v>1.8110373299510101</v>
      </c>
      <c r="U62" t="s">
        <v>118</v>
      </c>
      <c r="V62" s="1">
        <v>1</v>
      </c>
    </row>
    <row r="63" spans="1:22" x14ac:dyDescent="0.2">
      <c r="A63">
        <v>30</v>
      </c>
      <c r="B63" t="s">
        <v>78</v>
      </c>
      <c r="C63" t="s">
        <v>69</v>
      </c>
      <c r="D63" t="s">
        <v>56</v>
      </c>
      <c r="E63">
        <v>1</v>
      </c>
      <c r="F63">
        <v>78</v>
      </c>
      <c r="G63">
        <v>55</v>
      </c>
      <c r="H63">
        <v>33</v>
      </c>
      <c r="I63" s="2">
        <v>44389</v>
      </c>
      <c r="J63">
        <v>74126</v>
      </c>
      <c r="K63">
        <v>3.4246400000000001</v>
      </c>
      <c r="L63" t="s">
        <v>70</v>
      </c>
      <c r="M63" s="1">
        <v>0.28866666666666702</v>
      </c>
      <c r="N63" s="1">
        <v>0.31900000000000001</v>
      </c>
      <c r="O63" s="1">
        <v>3.03333333333334E-2</v>
      </c>
      <c r="P63" s="1">
        <v>3.2010000000000001</v>
      </c>
      <c r="Q63" s="1">
        <v>1.16366666666667</v>
      </c>
      <c r="R63" s="1">
        <v>1176.43333333333</v>
      </c>
      <c r="S63" s="1">
        <v>1.1764333333333301E-3</v>
      </c>
      <c r="T63" s="1">
        <v>1.2093049613237801</v>
      </c>
      <c r="U63" t="s">
        <v>118</v>
      </c>
      <c r="V63" s="1">
        <v>1</v>
      </c>
    </row>
    <row r="64" spans="1:22" x14ac:dyDescent="0.2">
      <c r="A64">
        <v>38</v>
      </c>
      <c r="B64" t="s">
        <v>88</v>
      </c>
      <c r="C64" t="s">
        <v>69</v>
      </c>
      <c r="D64" t="s">
        <v>56</v>
      </c>
      <c r="E64">
        <v>1</v>
      </c>
      <c r="F64">
        <v>95</v>
      </c>
      <c r="G64">
        <v>75</v>
      </c>
      <c r="H64">
        <v>39</v>
      </c>
      <c r="I64" s="2">
        <v>44389</v>
      </c>
      <c r="J64">
        <v>145495</v>
      </c>
      <c r="K64">
        <v>6.2793999999999999</v>
      </c>
      <c r="L64" t="s">
        <v>70</v>
      </c>
      <c r="M64" s="1">
        <v>0.26466666666666699</v>
      </c>
      <c r="N64" s="1">
        <v>0.29799999999999999</v>
      </c>
      <c r="O64" s="1">
        <v>3.3333333333333298E-2</v>
      </c>
      <c r="P64" s="1">
        <v>3.3</v>
      </c>
      <c r="Q64" s="1">
        <v>1.01366666666667</v>
      </c>
      <c r="R64" s="1">
        <v>831.43333333333305</v>
      </c>
      <c r="S64" s="1">
        <v>8.3143333333333296E-4</v>
      </c>
      <c r="T64" s="1">
        <v>1.7640219700918101</v>
      </c>
      <c r="U64" t="s">
        <v>118</v>
      </c>
      <c r="V64" s="1">
        <v>1</v>
      </c>
    </row>
    <row r="65" spans="1:22" x14ac:dyDescent="0.2">
      <c r="A65">
        <v>39</v>
      </c>
      <c r="B65" t="s">
        <v>89</v>
      </c>
      <c r="C65" t="s">
        <v>69</v>
      </c>
      <c r="D65" t="s">
        <v>56</v>
      </c>
      <c r="E65">
        <v>1</v>
      </c>
      <c r="F65">
        <v>93</v>
      </c>
      <c r="G65">
        <v>71</v>
      </c>
      <c r="H65">
        <v>45</v>
      </c>
      <c r="I65" s="2">
        <v>44389</v>
      </c>
      <c r="J65">
        <v>155580</v>
      </c>
      <c r="K65">
        <v>6.6828000000000003</v>
      </c>
      <c r="L65" t="s">
        <v>70</v>
      </c>
      <c r="M65" s="1">
        <v>0.23899999999999999</v>
      </c>
      <c r="N65" s="1">
        <v>0.28899999999999998</v>
      </c>
      <c r="O65" s="1">
        <v>0.05</v>
      </c>
      <c r="P65" s="1">
        <v>3.85</v>
      </c>
      <c r="Q65" s="1">
        <v>1.0189999999999999</v>
      </c>
      <c r="R65" s="1">
        <v>843.7</v>
      </c>
      <c r="S65" s="1">
        <v>8.4369999999999996E-4</v>
      </c>
      <c r="T65" s="1">
        <v>2.02810372301898</v>
      </c>
      <c r="U65" t="s">
        <v>118</v>
      </c>
      <c r="V65" s="1">
        <v>1</v>
      </c>
    </row>
    <row r="66" spans="1:22" x14ac:dyDescent="0.2">
      <c r="A66">
        <v>40</v>
      </c>
      <c r="B66" t="s">
        <v>90</v>
      </c>
      <c r="C66" t="s">
        <v>69</v>
      </c>
      <c r="D66" t="s">
        <v>56</v>
      </c>
      <c r="E66">
        <v>1</v>
      </c>
      <c r="F66">
        <v>86</v>
      </c>
      <c r="G66">
        <v>49</v>
      </c>
      <c r="H66">
        <v>29</v>
      </c>
      <c r="I66" s="2">
        <v>44389</v>
      </c>
      <c r="J66">
        <v>63987</v>
      </c>
      <c r="K66">
        <v>3.0190800000000002</v>
      </c>
      <c r="L66" t="s">
        <v>70</v>
      </c>
      <c r="M66" s="1">
        <v>0.27700000000000002</v>
      </c>
      <c r="N66" s="1">
        <v>0.31022222222222201</v>
      </c>
      <c r="O66" s="1">
        <v>3.3222222222222202E-2</v>
      </c>
      <c r="P66" s="1">
        <v>3.29633333333333</v>
      </c>
      <c r="Q66" s="1">
        <v>1.1015555555555601</v>
      </c>
      <c r="R66" s="1">
        <v>1033.5777777777801</v>
      </c>
      <c r="S66" s="1">
        <v>1.03357777777778E-3</v>
      </c>
      <c r="T66" s="1">
        <v>1.41744246880666</v>
      </c>
      <c r="U66" t="s">
        <v>118</v>
      </c>
      <c r="V66" s="1">
        <v>1</v>
      </c>
    </row>
    <row r="67" spans="1:22" x14ac:dyDescent="0.2">
      <c r="A67">
        <v>41</v>
      </c>
      <c r="B67" t="s">
        <v>91</v>
      </c>
      <c r="C67" t="s">
        <v>69</v>
      </c>
      <c r="D67" t="s">
        <v>56</v>
      </c>
      <c r="E67">
        <v>1</v>
      </c>
      <c r="F67">
        <v>67</v>
      </c>
      <c r="G67">
        <v>50</v>
      </c>
      <c r="H67">
        <v>30</v>
      </c>
      <c r="I67" s="2">
        <v>44389</v>
      </c>
      <c r="J67">
        <v>52622</v>
      </c>
      <c r="K67">
        <v>2.5644800000000001</v>
      </c>
      <c r="L67" t="s">
        <v>70</v>
      </c>
      <c r="M67" s="1">
        <v>0.18583333333333299</v>
      </c>
      <c r="N67" s="1">
        <v>0.237666666666667</v>
      </c>
      <c r="O67" s="1">
        <v>5.1833333333333301E-2</v>
      </c>
      <c r="P67" s="1">
        <v>3.9104999999999999</v>
      </c>
      <c r="Q67" s="1">
        <v>1.0186666666666699</v>
      </c>
      <c r="R67" s="1">
        <v>842.93333333333305</v>
      </c>
      <c r="S67" s="1">
        <v>8.4293333333333297E-4</v>
      </c>
      <c r="T67" s="1">
        <v>2.0618475166086698</v>
      </c>
      <c r="U67" t="s">
        <v>118</v>
      </c>
      <c r="V67" s="1">
        <v>1</v>
      </c>
    </row>
    <row r="68" spans="1:22" x14ac:dyDescent="0.2">
      <c r="M68" s="1"/>
      <c r="N68" s="1"/>
      <c r="O68" s="1"/>
      <c r="P68" s="1"/>
      <c r="Q68" s="1"/>
      <c r="R68" s="1"/>
      <c r="S68" s="1"/>
      <c r="T68" s="1"/>
    </row>
    <row r="69" spans="1:22" x14ac:dyDescent="0.2">
      <c r="M69" s="1"/>
      <c r="N69" s="1"/>
      <c r="O69" s="1"/>
      <c r="P69" s="1"/>
      <c r="Q69" s="1"/>
      <c r="R69" s="1"/>
      <c r="S69" s="1"/>
      <c r="T69" s="1"/>
    </row>
    <row r="70" spans="1:22" x14ac:dyDescent="0.2">
      <c r="M70" s="1"/>
      <c r="N70" s="1"/>
      <c r="O70" s="1"/>
      <c r="P70" s="1"/>
      <c r="Q70" s="1"/>
      <c r="R70" s="1"/>
      <c r="S70" s="1"/>
      <c r="T70" s="1"/>
    </row>
    <row r="71" spans="1:22" x14ac:dyDescent="0.2">
      <c r="M71" s="1"/>
      <c r="N71" s="1"/>
      <c r="O71" s="1"/>
      <c r="P71" s="1"/>
      <c r="Q71" s="1"/>
      <c r="R71" s="1"/>
      <c r="S71" s="1"/>
      <c r="T71" s="1"/>
    </row>
    <row r="72" spans="1:22" x14ac:dyDescent="0.2">
      <c r="M72" s="1"/>
      <c r="N72" s="1"/>
      <c r="O72" s="1"/>
      <c r="P72" s="1"/>
      <c r="Q72" s="1"/>
      <c r="R72" s="1"/>
      <c r="S72" s="1"/>
      <c r="T72" s="1"/>
    </row>
    <row r="73" spans="1:22" x14ac:dyDescent="0.2">
      <c r="M73" s="1"/>
      <c r="N73" s="1"/>
      <c r="O73" s="1"/>
      <c r="P73" s="1"/>
      <c r="Q73" s="1"/>
      <c r="R73" s="1"/>
      <c r="S73" s="1"/>
      <c r="T73" s="1"/>
    </row>
    <row r="74" spans="1:22" x14ac:dyDescent="0.2">
      <c r="M74" s="1"/>
      <c r="N74" s="1"/>
      <c r="O74" s="1"/>
      <c r="P74" s="1"/>
      <c r="Q74" s="1"/>
      <c r="R74" s="1"/>
      <c r="S74" s="1"/>
      <c r="T74" s="1"/>
    </row>
    <row r="75" spans="1:22" x14ac:dyDescent="0.2">
      <c r="M75" s="1"/>
      <c r="N75" s="1"/>
      <c r="O75" s="1"/>
      <c r="P75" s="1"/>
      <c r="Q75" s="1"/>
      <c r="R75" s="1"/>
      <c r="S75" s="1"/>
      <c r="T75" s="1"/>
    </row>
    <row r="76" spans="1:22" x14ac:dyDescent="0.2">
      <c r="M76" s="1"/>
      <c r="N76" s="1"/>
      <c r="O76" s="1"/>
      <c r="P76" s="1"/>
      <c r="Q76" s="1"/>
      <c r="R76" s="1"/>
      <c r="S76" s="1"/>
      <c r="T76" s="1"/>
    </row>
    <row r="77" spans="1:22" x14ac:dyDescent="0.2">
      <c r="M77" s="1"/>
      <c r="N77" s="1"/>
      <c r="O77" s="1"/>
      <c r="P77" s="1"/>
      <c r="Q77" s="1"/>
      <c r="R77" s="1"/>
      <c r="S77" s="1"/>
      <c r="T77" s="1"/>
    </row>
    <row r="78" spans="1:22" x14ac:dyDescent="0.2">
      <c r="M78" s="1"/>
      <c r="N78" s="1"/>
      <c r="O78" s="1"/>
      <c r="P78" s="1"/>
      <c r="Q78" s="1"/>
      <c r="R78" s="1"/>
      <c r="S78" s="1"/>
      <c r="T78" s="1"/>
    </row>
    <row r="79" spans="1:22" x14ac:dyDescent="0.2">
      <c r="M79" s="1"/>
      <c r="N79" s="1"/>
      <c r="O79" s="1"/>
      <c r="P79" s="1"/>
      <c r="Q79" s="1"/>
      <c r="R79" s="1"/>
      <c r="S79" s="1"/>
      <c r="T79" s="1"/>
    </row>
    <row r="80" spans="1:22" x14ac:dyDescent="0.2">
      <c r="M80" s="1"/>
      <c r="N80" s="1"/>
      <c r="O80" s="1"/>
      <c r="P80" s="1"/>
      <c r="Q80" s="1"/>
      <c r="R80" s="1"/>
      <c r="S80" s="1"/>
      <c r="T80" s="1"/>
    </row>
    <row r="81" spans="13:20" x14ac:dyDescent="0.2">
      <c r="M81" s="1"/>
      <c r="N81" s="1"/>
      <c r="O81" s="1"/>
      <c r="P81" s="1"/>
      <c r="Q81" s="1"/>
      <c r="R81" s="1"/>
      <c r="S81" s="1"/>
      <c r="T81" s="1"/>
    </row>
    <row r="82" spans="13:20" x14ac:dyDescent="0.2">
      <c r="M82" s="1"/>
      <c r="N82" s="1"/>
      <c r="O82" s="1"/>
      <c r="P82" s="1"/>
      <c r="Q82" s="1"/>
      <c r="R82" s="1"/>
      <c r="S82" s="1"/>
      <c r="T82" s="1"/>
    </row>
    <row r="83" spans="13:20" x14ac:dyDescent="0.2">
      <c r="M83" s="1"/>
      <c r="N83" s="1"/>
      <c r="O83" s="1"/>
      <c r="P83" s="1"/>
      <c r="Q83" s="1"/>
      <c r="R83" s="1"/>
      <c r="S83" s="1"/>
      <c r="T83" s="1"/>
    </row>
    <row r="84" spans="13:20" x14ac:dyDescent="0.2">
      <c r="M84" s="1"/>
      <c r="N84" s="1"/>
      <c r="O84" s="1"/>
      <c r="P84" s="1"/>
      <c r="Q84" s="1"/>
      <c r="R84" s="1"/>
      <c r="S84" s="1"/>
      <c r="T84" s="1"/>
    </row>
    <row r="85" spans="13:20" x14ac:dyDescent="0.2">
      <c r="M85" s="1"/>
      <c r="N85" s="1"/>
      <c r="O85" s="1"/>
      <c r="P85" s="1"/>
      <c r="Q85" s="1"/>
      <c r="R85" s="1"/>
      <c r="S85" s="1"/>
      <c r="T85" s="1"/>
    </row>
    <row r="86" spans="13:20" x14ac:dyDescent="0.2">
      <c r="M86" s="1"/>
      <c r="N86" s="1"/>
      <c r="O86" s="1"/>
      <c r="P86" s="1"/>
      <c r="Q86" s="1"/>
      <c r="R86" s="1"/>
      <c r="S86" s="1"/>
      <c r="T86" s="1"/>
    </row>
    <row r="87" spans="13:20" x14ac:dyDescent="0.2">
      <c r="M87" s="1"/>
      <c r="N87" s="1"/>
      <c r="O87" s="1"/>
      <c r="P87" s="1"/>
      <c r="Q87" s="1"/>
      <c r="R87" s="1"/>
      <c r="S87" s="1"/>
      <c r="T87" s="1"/>
    </row>
    <row r="88" spans="13:20" x14ac:dyDescent="0.2">
      <c r="M88" s="1"/>
      <c r="N88" s="1"/>
      <c r="O88" s="1"/>
      <c r="P88" s="1"/>
      <c r="Q88" s="1"/>
      <c r="R88" s="1"/>
      <c r="S88" s="1"/>
      <c r="T88" s="1"/>
    </row>
    <row r="89" spans="13:20" x14ac:dyDescent="0.2">
      <c r="M89" s="1"/>
      <c r="N89" s="1"/>
      <c r="O89" s="1"/>
      <c r="P89" s="1"/>
      <c r="Q89" s="1"/>
      <c r="R89" s="1"/>
      <c r="S89" s="1"/>
      <c r="T89" s="1"/>
    </row>
    <row r="90" spans="13:20" x14ac:dyDescent="0.2">
      <c r="M90" s="1"/>
      <c r="N90" s="1"/>
      <c r="O90" s="1"/>
      <c r="P90" s="1"/>
      <c r="Q90" s="1"/>
      <c r="R90" s="1"/>
      <c r="S90" s="1"/>
      <c r="T90" s="1"/>
    </row>
    <row r="91" spans="13:20" x14ac:dyDescent="0.2">
      <c r="M91" s="1"/>
      <c r="N91" s="1"/>
      <c r="O91" s="1"/>
      <c r="P91" s="1"/>
      <c r="Q91" s="1"/>
      <c r="R91" s="1"/>
      <c r="S91" s="1"/>
      <c r="T91" s="1"/>
    </row>
    <row r="92" spans="13:20" x14ac:dyDescent="0.2">
      <c r="M92" s="1"/>
      <c r="N92" s="1"/>
      <c r="O92" s="1"/>
      <c r="P92" s="1"/>
      <c r="Q92" s="1"/>
      <c r="R92" s="1"/>
      <c r="S92" s="1"/>
      <c r="T92" s="1"/>
    </row>
    <row r="93" spans="13:20" x14ac:dyDescent="0.2">
      <c r="M93" s="1"/>
      <c r="N93" s="1"/>
      <c r="O93" s="1"/>
      <c r="P93" s="1"/>
      <c r="Q93" s="1"/>
      <c r="R93" s="1"/>
      <c r="S93" s="1"/>
      <c r="T93" s="1"/>
    </row>
    <row r="94" spans="13:20" x14ac:dyDescent="0.2">
      <c r="M94" s="1"/>
      <c r="N94" s="1"/>
      <c r="O94" s="1"/>
      <c r="P94" s="1"/>
      <c r="Q94" s="1"/>
      <c r="R94" s="1"/>
      <c r="S94" s="1"/>
      <c r="T94" s="1"/>
    </row>
    <row r="95" spans="13:20" x14ac:dyDescent="0.2">
      <c r="M95" s="1"/>
      <c r="N95" s="1"/>
      <c r="O95" s="1"/>
      <c r="P95" s="1"/>
      <c r="Q95" s="1"/>
      <c r="R95" s="1"/>
      <c r="S95" s="1"/>
      <c r="T95" s="1"/>
    </row>
    <row r="96" spans="13:20" x14ac:dyDescent="0.2">
      <c r="M96" s="1"/>
      <c r="N96" s="1"/>
      <c r="O96" s="1"/>
      <c r="P96" s="1"/>
      <c r="Q96" s="1"/>
      <c r="R96" s="1"/>
      <c r="S96" s="1"/>
      <c r="T96" s="1"/>
    </row>
    <row r="97" spans="13:20" x14ac:dyDescent="0.2">
      <c r="M97" s="1"/>
      <c r="N97" s="1"/>
      <c r="O97" s="1"/>
      <c r="P97" s="1"/>
      <c r="Q97" s="1"/>
      <c r="R97" s="1"/>
      <c r="S97" s="1"/>
      <c r="T97" s="1"/>
    </row>
    <row r="98" spans="13:20" x14ac:dyDescent="0.2">
      <c r="M98" s="1"/>
      <c r="N98" s="1"/>
      <c r="O98" s="1"/>
      <c r="P98" s="1"/>
      <c r="Q98" s="1"/>
      <c r="R98" s="1"/>
      <c r="S98" s="1"/>
      <c r="T98" s="1"/>
    </row>
    <row r="99" spans="13:20" x14ac:dyDescent="0.2">
      <c r="M99" s="1"/>
      <c r="N99" s="1"/>
      <c r="O99" s="1"/>
      <c r="P99" s="1"/>
      <c r="Q99" s="1"/>
      <c r="R99" s="1"/>
      <c r="S99" s="1"/>
      <c r="T99" s="1"/>
    </row>
    <row r="100" spans="13:20" x14ac:dyDescent="0.2">
      <c r="M100" s="1"/>
      <c r="N100" s="1"/>
      <c r="O100" s="1"/>
      <c r="P100" s="1"/>
      <c r="Q100" s="1"/>
      <c r="R100" s="1"/>
      <c r="S100" s="1"/>
      <c r="T100" s="1"/>
    </row>
    <row r="101" spans="13:20" x14ac:dyDescent="0.2">
      <c r="M101" s="1"/>
      <c r="N101" s="1"/>
      <c r="O101" s="1"/>
      <c r="P101" s="1"/>
      <c r="Q101" s="1"/>
      <c r="R101" s="1"/>
      <c r="S101" s="1"/>
      <c r="T101" s="1"/>
    </row>
    <row r="102" spans="13:20" x14ac:dyDescent="0.2">
      <c r="M102" s="1"/>
      <c r="N102" s="1"/>
      <c r="O102" s="1"/>
      <c r="P102" s="1"/>
      <c r="Q102" s="1"/>
      <c r="R102" s="1"/>
      <c r="S102" s="1"/>
      <c r="T102" s="1"/>
    </row>
    <row r="103" spans="13:20" x14ac:dyDescent="0.2">
      <c r="M103" s="1"/>
      <c r="N103" s="1"/>
      <c r="O103" s="1"/>
      <c r="P103" s="1"/>
      <c r="Q103" s="1"/>
      <c r="R103" s="1"/>
      <c r="S103" s="1"/>
      <c r="T103" s="1"/>
    </row>
    <row r="104" spans="13:20" x14ac:dyDescent="0.2">
      <c r="M104" s="1"/>
      <c r="N104" s="1"/>
      <c r="O104" s="1"/>
      <c r="P104" s="1"/>
      <c r="Q104" s="1"/>
      <c r="R104" s="1"/>
      <c r="S104" s="1"/>
      <c r="T104" s="1"/>
    </row>
    <row r="105" spans="13:20" x14ac:dyDescent="0.2">
      <c r="M105" s="1"/>
      <c r="N105" s="1"/>
      <c r="O105" s="1"/>
      <c r="P105" s="1"/>
      <c r="Q105" s="1"/>
      <c r="R105" s="1"/>
      <c r="S105" s="1"/>
      <c r="T105" s="1"/>
    </row>
    <row r="106" spans="13:20" x14ac:dyDescent="0.2">
      <c r="M106" s="1"/>
      <c r="N106" s="1"/>
      <c r="O106" s="1"/>
      <c r="P106" s="1"/>
      <c r="Q106" s="1"/>
      <c r="R106" s="1"/>
      <c r="S106" s="1"/>
      <c r="T106" s="1"/>
    </row>
    <row r="107" spans="13:20" x14ac:dyDescent="0.2">
      <c r="M107" s="1"/>
      <c r="N107" s="1"/>
      <c r="O107" s="1"/>
      <c r="P107" s="1"/>
      <c r="Q107" s="1"/>
      <c r="R107" s="1"/>
      <c r="S107" s="1"/>
      <c r="T107" s="1"/>
    </row>
    <row r="108" spans="13:20" x14ac:dyDescent="0.2">
      <c r="M108" s="1"/>
      <c r="N108" s="1"/>
      <c r="O108" s="1"/>
      <c r="P108" s="1"/>
      <c r="Q108" s="1"/>
      <c r="R108" s="1"/>
      <c r="S108" s="1"/>
      <c r="T108" s="1"/>
    </row>
    <row r="109" spans="13:20" x14ac:dyDescent="0.2">
      <c r="M109" s="1"/>
      <c r="N109" s="1"/>
      <c r="O109" s="1"/>
      <c r="P109" s="1"/>
      <c r="Q109" s="1"/>
      <c r="R109" s="1"/>
      <c r="S109" s="1"/>
      <c r="T109" s="1"/>
    </row>
    <row r="110" spans="13:20" x14ac:dyDescent="0.2">
      <c r="M110" s="1"/>
      <c r="N110" s="1"/>
      <c r="O110" s="1"/>
      <c r="P110" s="1"/>
      <c r="Q110" s="1"/>
      <c r="R110" s="1"/>
      <c r="S110" s="1"/>
      <c r="T110" s="1"/>
    </row>
    <row r="111" spans="13:20" x14ac:dyDescent="0.2">
      <c r="M111" s="1"/>
      <c r="N111" s="1"/>
      <c r="O111" s="1"/>
      <c r="P111" s="1"/>
      <c r="Q111" s="1"/>
      <c r="R111" s="1"/>
      <c r="S111" s="1"/>
      <c r="T111" s="1"/>
    </row>
    <row r="112" spans="13:20" x14ac:dyDescent="0.2">
      <c r="M112" s="1"/>
      <c r="N112" s="1"/>
      <c r="O112" s="1"/>
      <c r="P112" s="1"/>
      <c r="Q112" s="1"/>
      <c r="R112" s="1"/>
      <c r="S112" s="1"/>
      <c r="T112" s="1"/>
    </row>
    <row r="113" spans="13:20" x14ac:dyDescent="0.2">
      <c r="M113" s="1"/>
      <c r="N113" s="1"/>
      <c r="O113" s="1"/>
      <c r="P113" s="1"/>
      <c r="Q113" s="1"/>
      <c r="R113" s="1"/>
      <c r="S113" s="1"/>
      <c r="T113" s="1"/>
    </row>
    <row r="114" spans="13:20" x14ac:dyDescent="0.2">
      <c r="M114" s="1"/>
      <c r="N114" s="1"/>
      <c r="O114" s="1"/>
      <c r="P114" s="1"/>
      <c r="Q114" s="1"/>
      <c r="R114" s="1"/>
      <c r="S114" s="1"/>
      <c r="T114" s="1"/>
    </row>
    <row r="115" spans="13:20" x14ac:dyDescent="0.2">
      <c r="M115" s="1"/>
      <c r="N115" s="1"/>
      <c r="O115" s="1"/>
      <c r="P115" s="1"/>
      <c r="Q115" s="1"/>
      <c r="R115" s="1"/>
      <c r="S115" s="1"/>
      <c r="T115" s="1"/>
    </row>
    <row r="116" spans="13:20" x14ac:dyDescent="0.2">
      <c r="M116" s="1"/>
      <c r="N116" s="1"/>
      <c r="O116" s="1"/>
      <c r="P116" s="1"/>
      <c r="Q116" s="1"/>
      <c r="R116" s="1"/>
      <c r="S116" s="1"/>
      <c r="T116" s="1"/>
    </row>
    <row r="117" spans="13:20" x14ac:dyDescent="0.2">
      <c r="M117" s="1"/>
      <c r="N117" s="1"/>
      <c r="O117" s="1"/>
      <c r="P117" s="1"/>
      <c r="Q117" s="1"/>
      <c r="R117" s="1"/>
      <c r="S117" s="1"/>
      <c r="T117" s="1"/>
    </row>
    <row r="118" spans="13:20" x14ac:dyDescent="0.2">
      <c r="M118" s="1"/>
      <c r="N118" s="1"/>
      <c r="O118" s="1"/>
      <c r="P118" s="1"/>
      <c r="Q118" s="1"/>
      <c r="R118" s="1"/>
      <c r="S118" s="1"/>
      <c r="T118" s="1"/>
    </row>
    <row r="119" spans="13:20" x14ac:dyDescent="0.2">
      <c r="M119" s="1"/>
      <c r="N119" s="1"/>
      <c r="O119" s="1"/>
      <c r="P119" s="1"/>
      <c r="Q119" s="1"/>
      <c r="R119" s="1"/>
      <c r="S119" s="1"/>
      <c r="T119" s="1"/>
    </row>
    <row r="120" spans="13:20" x14ac:dyDescent="0.2">
      <c r="M120" s="1"/>
      <c r="N120" s="1"/>
      <c r="O120" s="1"/>
      <c r="P120" s="1"/>
      <c r="Q120" s="1"/>
      <c r="R120" s="1"/>
      <c r="S120" s="1"/>
      <c r="T120" s="1"/>
    </row>
    <row r="121" spans="13:20" x14ac:dyDescent="0.2">
      <c r="M121" s="1"/>
      <c r="N121" s="1"/>
      <c r="O121" s="1"/>
      <c r="P121" s="1"/>
      <c r="Q121" s="1"/>
      <c r="R121" s="1"/>
      <c r="S121" s="1"/>
      <c r="T121" s="1"/>
    </row>
    <row r="122" spans="13:20" x14ac:dyDescent="0.2">
      <c r="M122" s="1"/>
      <c r="N122" s="1"/>
      <c r="O122" s="1"/>
      <c r="P122" s="1"/>
      <c r="Q122" s="1"/>
      <c r="R122" s="1"/>
      <c r="S122" s="1"/>
      <c r="T122" s="1"/>
    </row>
    <row r="123" spans="13:20" x14ac:dyDescent="0.2">
      <c r="M123" s="1"/>
      <c r="N123" s="1"/>
      <c r="O123" s="1"/>
      <c r="P123" s="1"/>
      <c r="Q123" s="1"/>
      <c r="R123" s="1"/>
      <c r="S123" s="1"/>
      <c r="T123" s="1"/>
    </row>
    <row r="124" spans="13:20" x14ac:dyDescent="0.2">
      <c r="M124" s="1"/>
      <c r="N124" s="1"/>
      <c r="O124" s="1"/>
      <c r="P124" s="1"/>
      <c r="Q124" s="1"/>
      <c r="R124" s="1"/>
      <c r="S124" s="1"/>
      <c r="T124" s="1"/>
    </row>
    <row r="125" spans="13:20" x14ac:dyDescent="0.2">
      <c r="M125" s="1"/>
      <c r="N125" s="1"/>
      <c r="O125" s="1"/>
      <c r="P125" s="1"/>
      <c r="Q125" s="1"/>
      <c r="R125" s="1"/>
      <c r="S125" s="1"/>
      <c r="T125" s="1"/>
    </row>
  </sheetData>
  <sortState xmlns:xlrd2="http://schemas.microsoft.com/office/spreadsheetml/2017/richdata2" ref="A2:U125">
    <sortCondition ref="L1:L1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2EEA-ED86-0E42-BB4B-94FE911B3CA8}">
  <dimension ref="A1:D18"/>
  <sheetViews>
    <sheetView workbookViewId="0">
      <selection activeCell="F3" sqref="F3"/>
    </sheetView>
  </sheetViews>
  <sheetFormatPr baseColWidth="10" defaultRowHeight="16" x14ac:dyDescent="0.2"/>
  <cols>
    <col min="1" max="1" width="14" customWidth="1"/>
  </cols>
  <sheetData>
    <row r="1" spans="1:4" x14ac:dyDescent="0.2">
      <c r="A1" s="9" t="s">
        <v>150</v>
      </c>
    </row>
    <row r="3" spans="1:4" x14ac:dyDescent="0.2">
      <c r="A3" s="11" t="s">
        <v>146</v>
      </c>
      <c r="B3" s="11" t="s">
        <v>151</v>
      </c>
      <c r="C3" s="11" t="s">
        <v>152</v>
      </c>
      <c r="D3" s="11" t="s">
        <v>153</v>
      </c>
    </row>
    <row r="4" spans="1:4" x14ac:dyDescent="0.2">
      <c r="A4" s="12" t="s">
        <v>42</v>
      </c>
      <c r="B4" s="10">
        <v>88</v>
      </c>
      <c r="C4" s="10">
        <v>83</v>
      </c>
      <c r="D4" s="10">
        <v>94.31</v>
      </c>
    </row>
    <row r="5" spans="1:4" x14ac:dyDescent="0.2">
      <c r="A5" s="12" t="s">
        <v>76</v>
      </c>
      <c r="B5" s="10">
        <v>88</v>
      </c>
      <c r="C5" s="10">
        <v>75</v>
      </c>
      <c r="D5" s="10">
        <v>85.22</v>
      </c>
    </row>
    <row r="6" spans="1:4" x14ac:dyDescent="0.2">
      <c r="A6" s="12" t="s">
        <v>50</v>
      </c>
      <c r="B6" s="10">
        <v>88</v>
      </c>
      <c r="C6" s="10">
        <v>80</v>
      </c>
      <c r="D6" s="10">
        <v>90.9</v>
      </c>
    </row>
    <row r="7" spans="1:4" x14ac:dyDescent="0.2">
      <c r="A7" s="12" t="s">
        <v>81</v>
      </c>
      <c r="B7" s="10">
        <v>88</v>
      </c>
      <c r="C7" s="10">
        <v>68</v>
      </c>
      <c r="D7" s="10">
        <v>77.27</v>
      </c>
    </row>
    <row r="8" spans="1:4" x14ac:dyDescent="0.2">
      <c r="A8" s="12" t="s">
        <v>108</v>
      </c>
      <c r="B8" s="10">
        <v>88</v>
      </c>
      <c r="C8" s="10">
        <v>56</v>
      </c>
      <c r="D8" s="10">
        <v>63.63</v>
      </c>
    </row>
    <row r="9" spans="1:4" x14ac:dyDescent="0.2">
      <c r="A9" s="12" t="s">
        <v>70</v>
      </c>
      <c r="B9" s="10">
        <v>88</v>
      </c>
      <c r="C9" s="10">
        <v>80</v>
      </c>
      <c r="D9" s="10">
        <v>90.9</v>
      </c>
    </row>
    <row r="12" spans="1:4" x14ac:dyDescent="0.2">
      <c r="A12" s="11" t="s">
        <v>146</v>
      </c>
      <c r="B12" s="11" t="s">
        <v>151</v>
      </c>
      <c r="C12" s="11" t="s">
        <v>152</v>
      </c>
      <c r="D12" s="11" t="s">
        <v>153</v>
      </c>
    </row>
    <row r="13" spans="1:4" x14ac:dyDescent="0.2">
      <c r="A13" s="12" t="s">
        <v>42</v>
      </c>
      <c r="B13" s="10">
        <v>88</v>
      </c>
      <c r="C13" s="10">
        <v>83</v>
      </c>
      <c r="D13" s="10">
        <v>94.31</v>
      </c>
    </row>
    <row r="14" spans="1:4" x14ac:dyDescent="0.2">
      <c r="A14" s="12" t="s">
        <v>76</v>
      </c>
      <c r="B14" s="10">
        <v>88</v>
      </c>
      <c r="C14" s="10">
        <v>75</v>
      </c>
      <c r="D14" s="10">
        <v>85.22</v>
      </c>
    </row>
    <row r="15" spans="1:4" x14ac:dyDescent="0.2">
      <c r="A15" s="12" t="s">
        <v>50</v>
      </c>
      <c r="B15" s="10">
        <v>88</v>
      </c>
      <c r="C15" s="10">
        <v>80</v>
      </c>
      <c r="D15" s="10">
        <v>90.9</v>
      </c>
    </row>
    <row r="16" spans="1:4" x14ac:dyDescent="0.2">
      <c r="A16" s="12" t="s">
        <v>81</v>
      </c>
      <c r="B16" s="10">
        <v>88</v>
      </c>
      <c r="C16" s="10">
        <v>68</v>
      </c>
      <c r="D16" s="10">
        <v>77.27</v>
      </c>
    </row>
    <row r="17" spans="1:4" x14ac:dyDescent="0.2">
      <c r="A17" s="12" t="s">
        <v>108</v>
      </c>
      <c r="B17" s="10">
        <v>88</v>
      </c>
      <c r="C17" s="10">
        <v>56</v>
      </c>
      <c r="D17" s="10">
        <v>63.63</v>
      </c>
    </row>
    <row r="18" spans="1:4" x14ac:dyDescent="0.2">
      <c r="A18" s="12" t="s">
        <v>70</v>
      </c>
      <c r="B18" s="10">
        <v>88</v>
      </c>
      <c r="C18" s="10">
        <v>80</v>
      </c>
      <c r="D18" s="10">
        <v>90.9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3188-64DA-C44A-BBF9-C957060F4B85}">
  <dimension ref="A1:M125"/>
  <sheetViews>
    <sheetView zoomScaleNormal="100" workbookViewId="0">
      <selection activeCell="O8" sqref="O8"/>
    </sheetView>
  </sheetViews>
  <sheetFormatPr baseColWidth="10" defaultRowHeight="16" x14ac:dyDescent="0.2"/>
  <cols>
    <col min="1" max="1" width="10.83203125" style="8"/>
    <col min="2" max="2" width="12.1640625" bestFit="1" customWidth="1"/>
    <col min="5" max="5" width="12.5" customWidth="1"/>
    <col min="6" max="6" width="13.5" customWidth="1"/>
    <col min="7" max="7" width="14.33203125" customWidth="1"/>
  </cols>
  <sheetData>
    <row r="1" spans="1:13" ht="17" thickBot="1" x14ac:dyDescent="0.25">
      <c r="A1" s="18" t="s">
        <v>28</v>
      </c>
      <c r="B1" s="19" t="s">
        <v>6</v>
      </c>
      <c r="C1" s="19" t="s">
        <v>5</v>
      </c>
      <c r="D1" s="19" t="s">
        <v>8</v>
      </c>
      <c r="E1" s="19" t="s">
        <v>9</v>
      </c>
      <c r="F1" s="19" t="s">
        <v>10</v>
      </c>
      <c r="G1" s="19" t="s">
        <v>163</v>
      </c>
      <c r="H1" s="19" t="s">
        <v>156</v>
      </c>
      <c r="I1" s="19" t="s">
        <v>157</v>
      </c>
      <c r="J1" s="19" t="s">
        <v>155</v>
      </c>
      <c r="K1" s="19" t="s">
        <v>158</v>
      </c>
      <c r="L1" s="19" t="s">
        <v>159</v>
      </c>
      <c r="M1" s="19" t="s">
        <v>160</v>
      </c>
    </row>
    <row r="2" spans="1:13" x14ac:dyDescent="0.2">
      <c r="A2" s="20" t="s">
        <v>39</v>
      </c>
      <c r="B2" s="21" t="s">
        <v>42</v>
      </c>
      <c r="C2" s="21" t="s">
        <v>161</v>
      </c>
      <c r="D2" s="21" t="s">
        <v>41</v>
      </c>
      <c r="E2" s="22">
        <v>44389</v>
      </c>
      <c r="F2" s="21">
        <v>75618</v>
      </c>
      <c r="G2" s="23">
        <v>3.4843199999999999</v>
      </c>
      <c r="H2" s="23">
        <v>1.7333333333333301E-2</v>
      </c>
      <c r="I2" s="23">
        <v>2.7719999999999998</v>
      </c>
      <c r="J2" s="23">
        <v>0.90533333333333299</v>
      </c>
      <c r="K2" s="23">
        <v>582.26666666666597</v>
      </c>
      <c r="L2" s="24">
        <v>5.82266666666666E-4</v>
      </c>
      <c r="M2" s="23">
        <v>2.1158690176322401</v>
      </c>
    </row>
    <row r="3" spans="1:13" x14ac:dyDescent="0.2">
      <c r="A3" s="20" t="s">
        <v>43</v>
      </c>
      <c r="B3" s="21" t="s">
        <v>42</v>
      </c>
      <c r="C3" s="21" t="s">
        <v>161</v>
      </c>
      <c r="D3" s="21" t="s">
        <v>41</v>
      </c>
      <c r="E3" s="22">
        <v>44389</v>
      </c>
      <c r="F3" s="21">
        <v>54890</v>
      </c>
      <c r="G3" s="23">
        <v>2.6551999999999998</v>
      </c>
      <c r="H3" s="23">
        <v>6.7166666666666694E-2</v>
      </c>
      <c r="I3" s="23">
        <v>4.4165000000000001</v>
      </c>
      <c r="J3" s="23">
        <v>1.0751666666666699</v>
      </c>
      <c r="K3" s="23">
        <v>972.88333333333298</v>
      </c>
      <c r="L3" s="24">
        <v>9.7288333333333296E-4</v>
      </c>
      <c r="M3" s="23">
        <v>2.0175994609379901</v>
      </c>
    </row>
    <row r="4" spans="1:13" x14ac:dyDescent="0.2">
      <c r="A4" s="20" t="s">
        <v>44</v>
      </c>
      <c r="B4" s="21" t="s">
        <v>42</v>
      </c>
      <c r="C4" s="21" t="s">
        <v>161</v>
      </c>
      <c r="D4" s="21" t="s">
        <v>41</v>
      </c>
      <c r="E4" s="22">
        <v>44389</v>
      </c>
      <c r="F4" s="21">
        <v>64403</v>
      </c>
      <c r="G4" s="23">
        <v>3.03572</v>
      </c>
      <c r="H4" s="23">
        <v>4.0666666666666698E-2</v>
      </c>
      <c r="I4" s="23">
        <v>3.5419999999999998</v>
      </c>
      <c r="J4" s="23">
        <v>0.89933333333333298</v>
      </c>
      <c r="K4" s="23">
        <v>568.46666666666704</v>
      </c>
      <c r="L4" s="24">
        <v>5.6846666666666697E-4</v>
      </c>
      <c r="M4" s="23">
        <v>2.7692427973886899</v>
      </c>
    </row>
    <row r="5" spans="1:13" x14ac:dyDescent="0.2">
      <c r="A5" s="20" t="s">
        <v>45</v>
      </c>
      <c r="B5" s="21" t="s">
        <v>42</v>
      </c>
      <c r="C5" s="21" t="s">
        <v>161</v>
      </c>
      <c r="D5" s="21" t="s">
        <v>41</v>
      </c>
      <c r="E5" s="22">
        <v>44389</v>
      </c>
      <c r="F5" s="21">
        <v>67646</v>
      </c>
      <c r="G5" s="23">
        <v>3.1654399999999998</v>
      </c>
      <c r="H5" s="23">
        <v>2.1666666666666699E-2</v>
      </c>
      <c r="I5" s="23">
        <v>2.915</v>
      </c>
      <c r="J5" s="23">
        <v>1.0993333333333299</v>
      </c>
      <c r="K5" s="23">
        <v>1028.4666666666701</v>
      </c>
      <c r="L5" s="24">
        <v>1.02846666666667E-3</v>
      </c>
      <c r="M5" s="23">
        <v>1.25969620362568</v>
      </c>
    </row>
    <row r="6" spans="1:13" x14ac:dyDescent="0.2">
      <c r="A6" s="20" t="s">
        <v>46</v>
      </c>
      <c r="B6" s="21" t="s">
        <v>42</v>
      </c>
      <c r="C6" s="21" t="s">
        <v>161</v>
      </c>
      <c r="D6" s="21" t="s">
        <v>41</v>
      </c>
      <c r="E6" s="22">
        <v>44389</v>
      </c>
      <c r="F6" s="21">
        <v>63405</v>
      </c>
      <c r="G6" s="23">
        <v>2.9958</v>
      </c>
      <c r="H6" s="23">
        <v>4.9777777777777803E-2</v>
      </c>
      <c r="I6" s="23">
        <v>3.8426666666666698</v>
      </c>
      <c r="J6" s="23">
        <v>0.94299999999999995</v>
      </c>
      <c r="K6" s="23">
        <v>668.9</v>
      </c>
      <c r="L6" s="24">
        <v>6.6890000000000005E-4</v>
      </c>
      <c r="M6" s="23">
        <v>2.5532244757839</v>
      </c>
    </row>
    <row r="7" spans="1:13" x14ac:dyDescent="0.2">
      <c r="A7" s="20" t="s">
        <v>47</v>
      </c>
      <c r="B7" s="21" t="s">
        <v>42</v>
      </c>
      <c r="C7" s="21" t="s">
        <v>161</v>
      </c>
      <c r="D7" s="21" t="s">
        <v>41</v>
      </c>
      <c r="E7" s="22">
        <v>44389</v>
      </c>
      <c r="F7" s="21">
        <v>79419</v>
      </c>
      <c r="G7" s="23">
        <v>3.6363599999999998</v>
      </c>
      <c r="H7" s="23">
        <v>6.7333333333333301E-2</v>
      </c>
      <c r="I7" s="23">
        <v>4.4219999999999997</v>
      </c>
      <c r="J7" s="23">
        <v>1.0780000000000001</v>
      </c>
      <c r="K7" s="23">
        <v>979.4</v>
      </c>
      <c r="L7" s="24">
        <v>9.7940000000000006E-4</v>
      </c>
      <c r="M7" s="23">
        <v>2.0066707507998101</v>
      </c>
    </row>
    <row r="8" spans="1:13" x14ac:dyDescent="0.2">
      <c r="A8" s="20" t="s">
        <v>53</v>
      </c>
      <c r="B8" s="21" t="s">
        <v>42</v>
      </c>
      <c r="C8" s="21" t="s">
        <v>161</v>
      </c>
      <c r="D8" s="21" t="s">
        <v>41</v>
      </c>
      <c r="E8" s="22">
        <v>44389</v>
      </c>
      <c r="F8" s="21">
        <v>67305</v>
      </c>
      <c r="G8" s="23">
        <v>3.1518000000000002</v>
      </c>
      <c r="H8" s="23">
        <v>7.4333333333333307E-2</v>
      </c>
      <c r="I8" s="23">
        <v>4.6529999999999996</v>
      </c>
      <c r="J8" s="23">
        <v>1.081</v>
      </c>
      <c r="K8" s="23">
        <v>986.3</v>
      </c>
      <c r="L8" s="24">
        <v>9.8630000000000007E-4</v>
      </c>
      <c r="M8" s="23">
        <v>2.0967251343404598</v>
      </c>
    </row>
    <row r="9" spans="1:13" x14ac:dyDescent="0.2">
      <c r="A9" s="20" t="s">
        <v>54</v>
      </c>
      <c r="B9" s="21" t="s">
        <v>42</v>
      </c>
      <c r="C9" s="21" t="s">
        <v>161</v>
      </c>
      <c r="D9" s="21" t="s">
        <v>41</v>
      </c>
      <c r="E9" s="22">
        <v>44389</v>
      </c>
      <c r="F9" s="21">
        <v>64260</v>
      </c>
      <c r="G9" s="23">
        <v>3.03</v>
      </c>
      <c r="H9" s="23">
        <v>2.5600000000000001E-2</v>
      </c>
      <c r="I9" s="23">
        <v>3.0448</v>
      </c>
      <c r="J9" s="23">
        <v>1.0861666666666701</v>
      </c>
      <c r="K9" s="23">
        <v>998.18333333333305</v>
      </c>
      <c r="L9" s="24">
        <v>9.9818333333333395E-4</v>
      </c>
      <c r="M9" s="23">
        <v>1.3557073127292401</v>
      </c>
    </row>
    <row r="10" spans="1:13" x14ac:dyDescent="0.2">
      <c r="A10" s="20" t="s">
        <v>57</v>
      </c>
      <c r="B10" s="21" t="s">
        <v>42</v>
      </c>
      <c r="C10" s="21" t="s">
        <v>161</v>
      </c>
      <c r="D10" s="21" t="s">
        <v>41</v>
      </c>
      <c r="E10" s="22">
        <v>44389</v>
      </c>
      <c r="F10" s="21">
        <v>79168</v>
      </c>
      <c r="G10" s="23">
        <v>3.6263200000000002</v>
      </c>
      <c r="H10" s="23">
        <v>3.0333333333333299E-2</v>
      </c>
      <c r="I10" s="23">
        <v>3.2010000000000001</v>
      </c>
      <c r="J10" s="23">
        <v>1.0780000000000001</v>
      </c>
      <c r="K10" s="23">
        <v>979.4</v>
      </c>
      <c r="L10" s="24">
        <v>9.7940000000000006E-4</v>
      </c>
      <c r="M10" s="23">
        <v>1.45259002110135</v>
      </c>
    </row>
    <row r="11" spans="1:13" x14ac:dyDescent="0.2">
      <c r="A11" s="20" t="s">
        <v>58</v>
      </c>
      <c r="B11" s="21" t="s">
        <v>42</v>
      </c>
      <c r="C11" s="21" t="s">
        <v>161</v>
      </c>
      <c r="D11" s="21" t="s">
        <v>41</v>
      </c>
      <c r="E11" s="22">
        <v>44389</v>
      </c>
      <c r="F11" s="21">
        <v>68707</v>
      </c>
      <c r="G11" s="23">
        <v>3.2078799999999998</v>
      </c>
      <c r="H11" s="23">
        <v>1.93333333333333E-2</v>
      </c>
      <c r="I11" s="23">
        <v>2.8380000000000001</v>
      </c>
      <c r="J11" s="23">
        <v>0.96899999999999997</v>
      </c>
      <c r="K11" s="23">
        <v>728.7</v>
      </c>
      <c r="L11" s="24">
        <v>7.2869999999999999E-4</v>
      </c>
      <c r="M11" s="23">
        <v>1.7309363707058201</v>
      </c>
    </row>
    <row r="12" spans="1:13" x14ac:dyDescent="0.2">
      <c r="A12" s="20" t="s">
        <v>59</v>
      </c>
      <c r="B12" s="21" t="s">
        <v>42</v>
      </c>
      <c r="C12" s="21" t="s">
        <v>161</v>
      </c>
      <c r="D12" s="21" t="s">
        <v>41</v>
      </c>
      <c r="E12" s="22">
        <v>44389</v>
      </c>
      <c r="F12" s="21">
        <v>58521</v>
      </c>
      <c r="G12" s="23">
        <v>2.80044</v>
      </c>
      <c r="H12" s="23">
        <v>2.6166666666666599E-2</v>
      </c>
      <c r="I12" s="23">
        <v>3.0634999999999999</v>
      </c>
      <c r="J12" s="23">
        <v>1.1423333333333301</v>
      </c>
      <c r="K12" s="23">
        <v>1127.36666666667</v>
      </c>
      <c r="L12" s="24">
        <v>1.1273666666666701E-3</v>
      </c>
      <c r="M12" s="23">
        <v>1.20773089697722</v>
      </c>
    </row>
    <row r="13" spans="1:13" x14ac:dyDescent="0.2">
      <c r="A13" s="20" t="s">
        <v>60</v>
      </c>
      <c r="B13" s="21" t="s">
        <v>42</v>
      </c>
      <c r="C13" s="21" t="s">
        <v>161</v>
      </c>
      <c r="D13" s="21" t="s">
        <v>41</v>
      </c>
      <c r="E13" s="22">
        <v>44389</v>
      </c>
      <c r="F13" s="21">
        <v>85685</v>
      </c>
      <c r="G13" s="23">
        <v>3.887</v>
      </c>
      <c r="H13" s="23">
        <v>2.4333333333333301E-2</v>
      </c>
      <c r="I13" s="23">
        <v>3.0030000000000001</v>
      </c>
      <c r="J13" s="23">
        <v>1.2393333333333301</v>
      </c>
      <c r="K13" s="23">
        <v>1350.4666666666701</v>
      </c>
      <c r="L13" s="24">
        <v>1.35046666666667E-3</v>
      </c>
      <c r="M13" s="23">
        <v>0.98830034062299499</v>
      </c>
    </row>
    <row r="14" spans="1:13" x14ac:dyDescent="0.2">
      <c r="A14" s="20" t="s">
        <v>74</v>
      </c>
      <c r="B14" s="21" t="s">
        <v>76</v>
      </c>
      <c r="C14" s="21" t="s">
        <v>161</v>
      </c>
      <c r="D14" s="21" t="s">
        <v>49</v>
      </c>
      <c r="E14" s="21" t="s">
        <v>75</v>
      </c>
      <c r="F14" s="21">
        <v>76764</v>
      </c>
      <c r="G14" s="23">
        <v>3.53016</v>
      </c>
      <c r="H14" s="23">
        <v>8.2000000000000003E-2</v>
      </c>
      <c r="I14" s="23">
        <v>4.9059999999999997</v>
      </c>
      <c r="J14" s="23">
        <v>0.86533333333333295</v>
      </c>
      <c r="K14" s="23">
        <v>490.26666666666699</v>
      </c>
      <c r="L14" s="24">
        <v>4.9026666666666702E-4</v>
      </c>
      <c r="M14" s="23">
        <v>4.4474662315293196</v>
      </c>
    </row>
    <row r="15" spans="1:13" x14ac:dyDescent="0.2">
      <c r="A15" s="20" t="s">
        <v>96</v>
      </c>
      <c r="B15" s="21" t="s">
        <v>76</v>
      </c>
      <c r="C15" s="21" t="s">
        <v>161</v>
      </c>
      <c r="D15" s="21" t="s">
        <v>49</v>
      </c>
      <c r="E15" s="22">
        <v>44390</v>
      </c>
      <c r="F15" s="21">
        <v>64746</v>
      </c>
      <c r="G15" s="23">
        <v>3.0494400000000002</v>
      </c>
      <c r="H15" s="23">
        <v>5.3666666666666703E-2</v>
      </c>
      <c r="I15" s="23">
        <v>3.9710000000000001</v>
      </c>
      <c r="J15" s="23">
        <v>0.855833333333333</v>
      </c>
      <c r="K15" s="23">
        <v>468.41666666666703</v>
      </c>
      <c r="L15" s="24">
        <v>4.68416666666667E-4</v>
      </c>
      <c r="M15" s="23">
        <v>3.7677756033920402</v>
      </c>
    </row>
    <row r="16" spans="1:13" x14ac:dyDescent="0.2">
      <c r="A16" s="20" t="s">
        <v>97</v>
      </c>
      <c r="B16" s="21" t="s">
        <v>76</v>
      </c>
      <c r="C16" s="21" t="s">
        <v>161</v>
      </c>
      <c r="D16" s="21" t="s">
        <v>49</v>
      </c>
      <c r="E16" s="22">
        <v>44390</v>
      </c>
      <c r="F16" s="21">
        <v>80346</v>
      </c>
      <c r="G16" s="23">
        <v>3.6734399999999998</v>
      </c>
      <c r="H16" s="23">
        <v>9.7666666666666693E-2</v>
      </c>
      <c r="I16" s="23">
        <v>5.423</v>
      </c>
      <c r="J16" s="23">
        <v>0.96933333333333305</v>
      </c>
      <c r="K16" s="23">
        <v>729.46666666666704</v>
      </c>
      <c r="L16" s="24">
        <v>7.2946666666666698E-4</v>
      </c>
      <c r="M16" s="23">
        <v>3.3040882227502602</v>
      </c>
    </row>
    <row r="17" spans="1:13" x14ac:dyDescent="0.2">
      <c r="A17" s="20" t="s">
        <v>98</v>
      </c>
      <c r="B17" s="21" t="s">
        <v>76</v>
      </c>
      <c r="C17" s="21" t="s">
        <v>161</v>
      </c>
      <c r="D17" s="21" t="s">
        <v>49</v>
      </c>
      <c r="E17" s="22">
        <v>44390</v>
      </c>
      <c r="F17" s="21">
        <v>83860</v>
      </c>
      <c r="G17" s="23">
        <v>3.8140000000000001</v>
      </c>
      <c r="H17" s="23">
        <v>6.6000000000000003E-2</v>
      </c>
      <c r="I17" s="23">
        <v>4.3780000000000001</v>
      </c>
      <c r="J17" s="23">
        <v>0.90583333333333305</v>
      </c>
      <c r="K17" s="23">
        <v>583.41666666666697</v>
      </c>
      <c r="L17" s="24">
        <v>5.83416666666666E-4</v>
      </c>
      <c r="M17" s="23">
        <v>3.3351425986763799</v>
      </c>
    </row>
    <row r="18" spans="1:13" x14ac:dyDescent="0.2">
      <c r="A18" s="20" t="s">
        <v>99</v>
      </c>
      <c r="B18" s="21" t="s">
        <v>76</v>
      </c>
      <c r="C18" s="21" t="s">
        <v>161</v>
      </c>
      <c r="D18" s="21" t="s">
        <v>49</v>
      </c>
      <c r="E18" s="22">
        <v>44390</v>
      </c>
      <c r="F18" s="21">
        <v>71176</v>
      </c>
      <c r="G18" s="23">
        <v>3.3066399999999998</v>
      </c>
      <c r="H18" s="23">
        <v>0.10666666666666701</v>
      </c>
      <c r="I18" s="23">
        <v>5.72</v>
      </c>
      <c r="J18" s="23">
        <v>0.98499999999999999</v>
      </c>
      <c r="K18" s="23">
        <v>765.5</v>
      </c>
      <c r="L18" s="24">
        <v>7.6550000000000001E-4</v>
      </c>
      <c r="M18" s="23">
        <v>3.3209957181217802</v>
      </c>
    </row>
    <row r="19" spans="1:13" x14ac:dyDescent="0.2">
      <c r="A19" s="20" t="s">
        <v>100</v>
      </c>
      <c r="B19" s="21" t="s">
        <v>76</v>
      </c>
      <c r="C19" s="21" t="s">
        <v>161</v>
      </c>
      <c r="D19" s="21" t="s">
        <v>49</v>
      </c>
      <c r="E19" s="22">
        <v>44390</v>
      </c>
      <c r="F19" s="21">
        <v>65680</v>
      </c>
      <c r="G19" s="23">
        <v>3.0868000000000002</v>
      </c>
      <c r="H19" s="23">
        <v>0.13300000000000001</v>
      </c>
      <c r="I19" s="23">
        <v>6.5890000000000004</v>
      </c>
      <c r="J19" s="23">
        <v>1.0553333333333299</v>
      </c>
      <c r="K19" s="23">
        <v>927.26666666666597</v>
      </c>
      <c r="L19" s="24">
        <v>9.2726666666666604E-4</v>
      </c>
      <c r="M19" s="23">
        <v>3.1581470031394598</v>
      </c>
    </row>
    <row r="20" spans="1:13" x14ac:dyDescent="0.2">
      <c r="A20" s="20" t="s">
        <v>101</v>
      </c>
      <c r="B20" s="21" t="s">
        <v>76</v>
      </c>
      <c r="C20" s="21" t="s">
        <v>161</v>
      </c>
      <c r="D20" s="21" t="s">
        <v>49</v>
      </c>
      <c r="E20" s="22">
        <v>44390</v>
      </c>
      <c r="F20" s="21">
        <v>111744</v>
      </c>
      <c r="G20" s="23">
        <v>4.92936</v>
      </c>
      <c r="H20" s="23">
        <v>0.10199999999999999</v>
      </c>
      <c r="I20" s="23">
        <v>5.5659999999999998</v>
      </c>
      <c r="J20" s="23">
        <v>1.0740000000000001</v>
      </c>
      <c r="K20" s="23">
        <v>970.2</v>
      </c>
      <c r="L20" s="24">
        <v>9.7019999999999995E-4</v>
      </c>
      <c r="M20" s="23">
        <v>2.5497606449987398</v>
      </c>
    </row>
    <row r="21" spans="1:13" x14ac:dyDescent="0.2">
      <c r="A21" s="20" t="s">
        <v>102</v>
      </c>
      <c r="B21" s="21" t="s">
        <v>76</v>
      </c>
      <c r="C21" s="21" t="s">
        <v>161</v>
      </c>
      <c r="D21" s="21" t="s">
        <v>49</v>
      </c>
      <c r="E21" s="22">
        <v>44390</v>
      </c>
      <c r="F21" s="21">
        <v>82137</v>
      </c>
      <c r="G21" s="23">
        <v>3.7450800000000002</v>
      </c>
      <c r="H21" s="23">
        <v>7.8666666666666704E-2</v>
      </c>
      <c r="I21" s="23">
        <v>4.7960000000000003</v>
      </c>
      <c r="J21" s="23">
        <v>1.1016666666666699</v>
      </c>
      <c r="K21" s="23">
        <v>1033.8333333333301</v>
      </c>
      <c r="L21" s="24">
        <v>1.03383333333333E-3</v>
      </c>
      <c r="M21" s="23">
        <v>2.0617980547047101</v>
      </c>
    </row>
    <row r="22" spans="1:13" x14ac:dyDescent="0.2">
      <c r="A22" s="20" t="s">
        <v>103</v>
      </c>
      <c r="B22" s="21" t="s">
        <v>76</v>
      </c>
      <c r="C22" s="21" t="s">
        <v>161</v>
      </c>
      <c r="D22" s="21" t="s">
        <v>49</v>
      </c>
      <c r="E22" s="22">
        <v>44390</v>
      </c>
      <c r="F22" s="21">
        <v>94210</v>
      </c>
      <c r="G22" s="23">
        <v>4.2279999999999998</v>
      </c>
      <c r="H22" s="23">
        <v>0.105</v>
      </c>
      <c r="I22" s="23">
        <v>5.665</v>
      </c>
      <c r="J22" s="23">
        <v>0.81466666666666698</v>
      </c>
      <c r="K22" s="23">
        <v>373.73333333333301</v>
      </c>
      <c r="L22" s="24">
        <v>3.73733333333333E-4</v>
      </c>
      <c r="M22" s="23">
        <v>6.7368295873468904</v>
      </c>
    </row>
    <row r="23" spans="1:13" x14ac:dyDescent="0.2">
      <c r="A23" s="20" t="s">
        <v>104</v>
      </c>
      <c r="B23" s="21" t="s">
        <v>76</v>
      </c>
      <c r="C23" s="21" t="s">
        <v>161</v>
      </c>
      <c r="D23" s="21" t="s">
        <v>49</v>
      </c>
      <c r="E23" s="22">
        <v>44390</v>
      </c>
      <c r="F23" s="21">
        <v>126097</v>
      </c>
      <c r="G23" s="23">
        <v>5.5034799999999997</v>
      </c>
      <c r="H23" s="23">
        <v>0.108</v>
      </c>
      <c r="I23" s="23">
        <v>5.7640000000000002</v>
      </c>
      <c r="J23" s="23">
        <v>0.87166666666666703</v>
      </c>
      <c r="K23" s="23">
        <v>504.83333333333297</v>
      </c>
      <c r="L23" s="24">
        <v>5.0483333333333305E-4</v>
      </c>
      <c r="M23" s="23">
        <v>5.0745020358754296</v>
      </c>
    </row>
    <row r="24" spans="1:13" x14ac:dyDescent="0.2">
      <c r="A24" s="20" t="s">
        <v>105</v>
      </c>
      <c r="B24" s="21" t="s">
        <v>76</v>
      </c>
      <c r="C24" s="21" t="s">
        <v>161</v>
      </c>
      <c r="D24" s="21" t="s">
        <v>49</v>
      </c>
      <c r="E24" s="22">
        <v>44390</v>
      </c>
      <c r="F24" s="21">
        <v>74644</v>
      </c>
      <c r="G24" s="23">
        <v>3.44536</v>
      </c>
      <c r="H24" s="23">
        <v>9.6000000000000002E-2</v>
      </c>
      <c r="I24" s="23">
        <v>5.3680000000000003</v>
      </c>
      <c r="J24" s="23">
        <v>0.91</v>
      </c>
      <c r="K24" s="23">
        <v>593</v>
      </c>
      <c r="L24" s="24">
        <v>5.9299999999999999E-4</v>
      </c>
      <c r="M24" s="23">
        <v>4.0232340266067101</v>
      </c>
    </row>
    <row r="25" spans="1:13" x14ac:dyDescent="0.2">
      <c r="A25" s="20" t="s">
        <v>106</v>
      </c>
      <c r="B25" s="21" t="s">
        <v>76</v>
      </c>
      <c r="C25" s="21" t="s">
        <v>161</v>
      </c>
      <c r="D25" s="21" t="s">
        <v>49</v>
      </c>
      <c r="E25" s="22">
        <v>44390</v>
      </c>
      <c r="F25" s="21">
        <v>71662</v>
      </c>
      <c r="G25" s="23">
        <v>3.3260800000000001</v>
      </c>
      <c r="H25" s="23">
        <v>3.1666666666666697E-2</v>
      </c>
      <c r="I25" s="23">
        <v>3.2450000000000001</v>
      </c>
      <c r="J25" s="23">
        <v>0.97266666666666701</v>
      </c>
      <c r="K25" s="23">
        <v>737.13333333333298</v>
      </c>
      <c r="L25" s="24">
        <v>7.37133333333333E-4</v>
      </c>
      <c r="M25" s="23">
        <v>1.95652829278587</v>
      </c>
    </row>
    <row r="26" spans="1:13" x14ac:dyDescent="0.2">
      <c r="A26" s="20" t="s">
        <v>48</v>
      </c>
      <c r="B26" s="21" t="s">
        <v>50</v>
      </c>
      <c r="C26" s="21" t="s">
        <v>161</v>
      </c>
      <c r="D26" s="21" t="s">
        <v>49</v>
      </c>
      <c r="E26" s="22">
        <v>44389</v>
      </c>
      <c r="F26" s="21">
        <v>68581</v>
      </c>
      <c r="G26" s="23">
        <v>3.2028400000000001</v>
      </c>
      <c r="H26" s="23">
        <v>8.1333333333333299E-2</v>
      </c>
      <c r="I26" s="23">
        <v>4.8840000000000003</v>
      </c>
      <c r="J26" s="23">
        <v>1.1779999999999999</v>
      </c>
      <c r="K26" s="23">
        <v>1209.4000000000001</v>
      </c>
      <c r="L26" s="24">
        <v>1.2094E-3</v>
      </c>
      <c r="M26" s="23">
        <v>1.79482939198501</v>
      </c>
    </row>
    <row r="27" spans="1:13" x14ac:dyDescent="0.2">
      <c r="A27" s="20" t="s">
        <v>51</v>
      </c>
      <c r="B27" s="21" t="s">
        <v>50</v>
      </c>
      <c r="C27" s="21" t="s">
        <v>161</v>
      </c>
      <c r="D27" s="21" t="s">
        <v>49</v>
      </c>
      <c r="E27" s="22">
        <v>44389</v>
      </c>
      <c r="F27" s="21">
        <v>65835</v>
      </c>
      <c r="G27" s="23">
        <v>3.093</v>
      </c>
      <c r="H27" s="23">
        <v>9.1666666666666702E-2</v>
      </c>
      <c r="I27" s="23">
        <v>5.2249999999999996</v>
      </c>
      <c r="J27" s="23">
        <v>1.13333333333333</v>
      </c>
      <c r="K27" s="23">
        <v>1106.6666666666699</v>
      </c>
      <c r="L27" s="24">
        <v>1.1066666666666701E-3</v>
      </c>
      <c r="M27" s="23">
        <v>2.09839357429719</v>
      </c>
    </row>
    <row r="28" spans="1:13" x14ac:dyDescent="0.2">
      <c r="A28" s="20" t="s">
        <v>52</v>
      </c>
      <c r="B28" s="21" t="s">
        <v>50</v>
      </c>
      <c r="C28" s="21" t="s">
        <v>161</v>
      </c>
      <c r="D28" s="21" t="s">
        <v>49</v>
      </c>
      <c r="E28" s="22">
        <v>44389</v>
      </c>
      <c r="F28" s="21">
        <v>60036</v>
      </c>
      <c r="G28" s="23">
        <v>2.86104</v>
      </c>
      <c r="H28" s="23">
        <v>5.0999999999999997E-2</v>
      </c>
      <c r="I28" s="23">
        <v>3.883</v>
      </c>
      <c r="J28" s="23">
        <v>1.0636666666666701</v>
      </c>
      <c r="K28" s="23">
        <v>946.43333333333305</v>
      </c>
      <c r="L28" s="24">
        <v>9.4643333333333305E-4</v>
      </c>
      <c r="M28" s="23">
        <v>1.82345413775696</v>
      </c>
    </row>
    <row r="29" spans="1:13" x14ac:dyDescent="0.2">
      <c r="A29" s="20" t="s">
        <v>55</v>
      </c>
      <c r="B29" s="21" t="s">
        <v>50</v>
      </c>
      <c r="C29" s="21" t="s">
        <v>161</v>
      </c>
      <c r="D29" s="21" t="s">
        <v>56</v>
      </c>
      <c r="E29" s="22">
        <v>44389</v>
      </c>
      <c r="F29" s="21">
        <v>57962</v>
      </c>
      <c r="G29" s="23">
        <v>2.7780800000000001</v>
      </c>
      <c r="H29" s="23">
        <v>5.5333333333333297E-2</v>
      </c>
      <c r="I29" s="23">
        <v>4.0259999999999998</v>
      </c>
      <c r="J29" s="23">
        <v>0.999</v>
      </c>
      <c r="K29" s="23">
        <v>797.7</v>
      </c>
      <c r="L29" s="24">
        <v>7.9770000000000004E-4</v>
      </c>
      <c r="M29" s="23">
        <v>2.24311562408591</v>
      </c>
    </row>
    <row r="30" spans="1:13" x14ac:dyDescent="0.2">
      <c r="A30" s="20" t="s">
        <v>61</v>
      </c>
      <c r="B30" s="21" t="s">
        <v>50</v>
      </c>
      <c r="C30" s="21" t="s">
        <v>161</v>
      </c>
      <c r="D30" s="21" t="s">
        <v>49</v>
      </c>
      <c r="E30" s="22">
        <v>44389</v>
      </c>
      <c r="F30" s="21">
        <v>71181</v>
      </c>
      <c r="G30" s="23">
        <v>3.3068399999999998</v>
      </c>
      <c r="H30" s="23">
        <v>4.4699999999999997E-2</v>
      </c>
      <c r="I30" s="23">
        <v>3.6751</v>
      </c>
      <c r="J30" s="23">
        <v>0.94650000000000001</v>
      </c>
      <c r="K30" s="23">
        <v>676.95</v>
      </c>
      <c r="L30" s="24">
        <v>6.7694999999999995E-4</v>
      </c>
      <c r="M30" s="23">
        <v>2.41284847887994</v>
      </c>
    </row>
    <row r="31" spans="1:13" x14ac:dyDescent="0.2">
      <c r="A31" s="20" t="s">
        <v>62</v>
      </c>
      <c r="B31" s="21" t="s">
        <v>50</v>
      </c>
      <c r="C31" s="21" t="s">
        <v>161</v>
      </c>
      <c r="D31" s="21" t="s">
        <v>49</v>
      </c>
      <c r="E31" s="22">
        <v>44389</v>
      </c>
      <c r="F31" s="21">
        <v>89590</v>
      </c>
      <c r="G31" s="23">
        <v>4.0431999999999997</v>
      </c>
      <c r="H31" s="23">
        <v>3.7666666666666702E-2</v>
      </c>
      <c r="I31" s="23">
        <v>3.4430000000000001</v>
      </c>
      <c r="J31" s="23">
        <v>1.1819999999999999</v>
      </c>
      <c r="K31" s="23">
        <v>1218.5999999999999</v>
      </c>
      <c r="L31" s="24">
        <v>1.2186E-3</v>
      </c>
      <c r="M31" s="23">
        <v>1.25572150190565</v>
      </c>
    </row>
    <row r="32" spans="1:13" x14ac:dyDescent="0.2">
      <c r="A32" s="20" t="s">
        <v>63</v>
      </c>
      <c r="B32" s="21" t="s">
        <v>50</v>
      </c>
      <c r="C32" s="21" t="s">
        <v>161</v>
      </c>
      <c r="D32" s="21" t="s">
        <v>49</v>
      </c>
      <c r="E32" s="22">
        <v>44389</v>
      </c>
      <c r="F32" s="21">
        <v>63108</v>
      </c>
      <c r="G32" s="23">
        <v>2.9839199999999999</v>
      </c>
      <c r="H32" s="23">
        <v>1.96666666666667E-2</v>
      </c>
      <c r="I32" s="23">
        <v>2.8490000000000002</v>
      </c>
      <c r="J32" s="23">
        <v>0.874</v>
      </c>
      <c r="K32" s="23">
        <v>510.2</v>
      </c>
      <c r="L32" s="24">
        <v>5.1020000000000004E-4</v>
      </c>
      <c r="M32" s="23">
        <v>2.4818154100788399</v>
      </c>
    </row>
    <row r="33" spans="1:13" x14ac:dyDescent="0.2">
      <c r="A33" s="20" t="s">
        <v>64</v>
      </c>
      <c r="B33" s="21" t="s">
        <v>50</v>
      </c>
      <c r="C33" s="21" t="s">
        <v>161</v>
      </c>
      <c r="D33" s="21" t="s">
        <v>49</v>
      </c>
      <c r="E33" s="22">
        <v>44389</v>
      </c>
      <c r="F33" s="21">
        <v>76236</v>
      </c>
      <c r="G33" s="23">
        <v>3.5090400000000002</v>
      </c>
      <c r="H33" s="23">
        <v>3.5000000000000003E-2</v>
      </c>
      <c r="I33" s="23">
        <v>3.355</v>
      </c>
      <c r="J33" s="23">
        <v>0.98388888888888903</v>
      </c>
      <c r="K33" s="23">
        <v>762.944444444444</v>
      </c>
      <c r="L33" s="24">
        <v>7.6294444444444402E-4</v>
      </c>
      <c r="M33" s="23">
        <v>1.9544163693293499</v>
      </c>
    </row>
    <row r="34" spans="1:13" x14ac:dyDescent="0.2">
      <c r="A34" s="20" t="s">
        <v>65</v>
      </c>
      <c r="B34" s="21" t="s">
        <v>50</v>
      </c>
      <c r="C34" s="21" t="s">
        <v>161</v>
      </c>
      <c r="D34" s="21" t="s">
        <v>49</v>
      </c>
      <c r="E34" s="22">
        <v>44389</v>
      </c>
      <c r="F34" s="21">
        <v>70811</v>
      </c>
      <c r="G34" s="23">
        <v>3.2920400000000001</v>
      </c>
      <c r="H34" s="23">
        <v>4.31111111111111E-2</v>
      </c>
      <c r="I34" s="23">
        <v>3.62266666666667</v>
      </c>
      <c r="J34" s="23">
        <v>0.88666666666666705</v>
      </c>
      <c r="K34" s="23">
        <v>539.33333333333303</v>
      </c>
      <c r="L34" s="24">
        <v>5.3933333333333296E-4</v>
      </c>
      <c r="M34" s="23">
        <v>2.98530421645378</v>
      </c>
    </row>
    <row r="35" spans="1:13" x14ac:dyDescent="0.2">
      <c r="A35" s="20" t="s">
        <v>66</v>
      </c>
      <c r="B35" s="21" t="s">
        <v>50</v>
      </c>
      <c r="C35" s="21" t="s">
        <v>161</v>
      </c>
      <c r="D35" s="21" t="s">
        <v>49</v>
      </c>
      <c r="E35" s="22">
        <v>44389</v>
      </c>
      <c r="F35" s="21">
        <v>80346</v>
      </c>
      <c r="G35" s="23">
        <v>3.6734399999999998</v>
      </c>
      <c r="H35" s="23">
        <v>2.9444444444444402E-2</v>
      </c>
      <c r="I35" s="23">
        <v>3.17166666666667</v>
      </c>
      <c r="J35" s="23">
        <v>0.86366666666666703</v>
      </c>
      <c r="K35" s="23">
        <v>486.433333333333</v>
      </c>
      <c r="L35" s="24">
        <v>4.8643333333333298E-4</v>
      </c>
      <c r="M35" s="23">
        <v>2.89788863762687</v>
      </c>
    </row>
    <row r="36" spans="1:13" x14ac:dyDescent="0.2">
      <c r="A36" s="20" t="s">
        <v>67</v>
      </c>
      <c r="B36" s="21" t="s">
        <v>50</v>
      </c>
      <c r="C36" s="21" t="s">
        <v>161</v>
      </c>
      <c r="D36" s="21" t="s">
        <v>49</v>
      </c>
      <c r="E36" s="22">
        <v>44389</v>
      </c>
      <c r="F36" s="21">
        <v>92891</v>
      </c>
      <c r="G36" s="23">
        <v>4.1752399999999996</v>
      </c>
      <c r="H36" s="23">
        <v>1.9199999999999998E-2</v>
      </c>
      <c r="I36" s="23">
        <v>2.8336000000000001</v>
      </c>
      <c r="J36" s="23">
        <v>1.00216666666667</v>
      </c>
      <c r="K36" s="23">
        <v>804.98333333333301</v>
      </c>
      <c r="L36" s="24">
        <v>8.0498333333333305E-4</v>
      </c>
      <c r="M36" s="23">
        <v>1.56447683526919</v>
      </c>
    </row>
    <row r="37" spans="1:13" x14ac:dyDescent="0.2">
      <c r="A37" s="20" t="s">
        <v>79</v>
      </c>
      <c r="B37" s="21" t="s">
        <v>81</v>
      </c>
      <c r="C37" s="21" t="s">
        <v>162</v>
      </c>
      <c r="D37" s="21" t="s">
        <v>80</v>
      </c>
      <c r="E37" s="22">
        <v>44389</v>
      </c>
      <c r="F37" s="21">
        <v>54849</v>
      </c>
      <c r="G37" s="23">
        <v>2.6535600000000001</v>
      </c>
      <c r="H37" s="23">
        <v>2.7E-2</v>
      </c>
      <c r="I37" s="23">
        <v>3.0910000000000002</v>
      </c>
      <c r="J37" s="23">
        <v>1.01433333333333</v>
      </c>
      <c r="K37" s="23">
        <v>832.96666666666704</v>
      </c>
      <c r="L37" s="24">
        <v>8.3296666666666695E-4</v>
      </c>
      <c r="M37" s="23">
        <v>1.6492590072965401</v>
      </c>
    </row>
    <row r="38" spans="1:13" x14ac:dyDescent="0.2">
      <c r="A38" s="20" t="s">
        <v>82</v>
      </c>
      <c r="B38" s="21" t="s">
        <v>81</v>
      </c>
      <c r="C38" s="21" t="s">
        <v>162</v>
      </c>
      <c r="D38" s="21" t="s">
        <v>80</v>
      </c>
      <c r="E38" s="22">
        <v>44389</v>
      </c>
      <c r="F38" s="21">
        <v>90394</v>
      </c>
      <c r="G38" s="23">
        <v>4.0753599999999999</v>
      </c>
      <c r="H38" s="23">
        <v>6.4666666666666706E-2</v>
      </c>
      <c r="I38" s="23">
        <v>4.3339999999999996</v>
      </c>
      <c r="J38" s="23">
        <v>1.054</v>
      </c>
      <c r="K38" s="23">
        <v>924.2</v>
      </c>
      <c r="L38" s="24">
        <v>9.2420000000000002E-4</v>
      </c>
      <c r="M38" s="23">
        <v>2.0842049580417901</v>
      </c>
    </row>
    <row r="39" spans="1:13" x14ac:dyDescent="0.2">
      <c r="A39" s="20" t="s">
        <v>83</v>
      </c>
      <c r="B39" s="21" t="s">
        <v>81</v>
      </c>
      <c r="C39" s="21" t="s">
        <v>162</v>
      </c>
      <c r="D39" s="21" t="s">
        <v>80</v>
      </c>
      <c r="E39" s="22">
        <v>44389</v>
      </c>
      <c r="F39" s="21">
        <v>71974</v>
      </c>
      <c r="G39" s="23">
        <v>3.3385600000000002</v>
      </c>
      <c r="H39" s="23">
        <v>2.0666666666666701E-2</v>
      </c>
      <c r="I39" s="23">
        <v>2.8820000000000001</v>
      </c>
      <c r="J39" s="23">
        <v>0.98299999999999998</v>
      </c>
      <c r="K39" s="23">
        <v>760.9</v>
      </c>
      <c r="L39" s="24">
        <v>7.6090000000000001E-4</v>
      </c>
      <c r="M39" s="23">
        <v>1.68338663278866</v>
      </c>
    </row>
    <row r="40" spans="1:13" x14ac:dyDescent="0.2">
      <c r="A40" s="20" t="s">
        <v>84</v>
      </c>
      <c r="B40" s="21" t="s">
        <v>81</v>
      </c>
      <c r="C40" s="21" t="s">
        <v>162</v>
      </c>
      <c r="D40" s="21" t="s">
        <v>80</v>
      </c>
      <c r="E40" s="22">
        <v>44389</v>
      </c>
      <c r="F40" s="21">
        <v>52317</v>
      </c>
      <c r="G40" s="23">
        <v>2.5522800000000001</v>
      </c>
      <c r="H40" s="23">
        <v>5.93333333333333E-2</v>
      </c>
      <c r="I40" s="23">
        <v>4.1580000000000004</v>
      </c>
      <c r="J40" s="23">
        <v>1.2151666666666701</v>
      </c>
      <c r="K40" s="23">
        <v>1294.88333333333</v>
      </c>
      <c r="L40" s="24">
        <v>1.2948833333333301E-3</v>
      </c>
      <c r="M40" s="23">
        <v>1.4271555996035701</v>
      </c>
    </row>
    <row r="41" spans="1:13" x14ac:dyDescent="0.2">
      <c r="A41" s="20" t="s">
        <v>85</v>
      </c>
      <c r="B41" s="21" t="s">
        <v>81</v>
      </c>
      <c r="C41" s="21" t="s">
        <v>162</v>
      </c>
      <c r="D41" s="21" t="s">
        <v>80</v>
      </c>
      <c r="E41" s="22">
        <v>44389</v>
      </c>
      <c r="F41" s="21">
        <v>120695</v>
      </c>
      <c r="G41" s="23">
        <v>5.2873999999999999</v>
      </c>
      <c r="H41" s="23">
        <v>3.0111111111111099E-2</v>
      </c>
      <c r="I41" s="23">
        <v>3.1936666666666702</v>
      </c>
      <c r="J41" s="23">
        <v>1.105</v>
      </c>
      <c r="K41" s="23">
        <v>1041.5</v>
      </c>
      <c r="L41" s="24">
        <v>1.0415000000000001E-3</v>
      </c>
      <c r="M41" s="23">
        <v>1.36284916697783</v>
      </c>
    </row>
    <row r="42" spans="1:13" x14ac:dyDescent="0.2">
      <c r="A42" s="20" t="s">
        <v>86</v>
      </c>
      <c r="B42" s="21" t="s">
        <v>81</v>
      </c>
      <c r="C42" s="21" t="s">
        <v>162</v>
      </c>
      <c r="D42" s="21" t="s">
        <v>80</v>
      </c>
      <c r="E42" s="22">
        <v>44389</v>
      </c>
      <c r="F42" s="21">
        <v>76236</v>
      </c>
      <c r="G42" s="23">
        <v>3.5090400000000002</v>
      </c>
      <c r="H42" s="23">
        <v>5.2833333333333302E-2</v>
      </c>
      <c r="I42" s="23">
        <v>3.9434999999999998</v>
      </c>
      <c r="J42" s="23">
        <v>1.1539999999999999</v>
      </c>
      <c r="K42" s="23">
        <v>1154.2</v>
      </c>
      <c r="L42" s="24">
        <v>1.1542E-3</v>
      </c>
      <c r="M42" s="23">
        <v>1.51851210073355</v>
      </c>
    </row>
    <row r="43" spans="1:13" x14ac:dyDescent="0.2">
      <c r="A43" s="20" t="s">
        <v>87</v>
      </c>
      <c r="B43" s="21" t="s">
        <v>81</v>
      </c>
      <c r="C43" s="21" t="s">
        <v>162</v>
      </c>
      <c r="D43" s="21" t="s">
        <v>80</v>
      </c>
      <c r="E43" s="22">
        <v>44389</v>
      </c>
      <c r="F43" s="21">
        <v>87745</v>
      </c>
      <c r="G43" s="23">
        <v>3.9693999999999998</v>
      </c>
      <c r="H43" s="23">
        <v>6.7666666666666694E-2</v>
      </c>
      <c r="I43" s="23">
        <v>4.4329999999999998</v>
      </c>
      <c r="J43" s="23">
        <v>1.101</v>
      </c>
      <c r="K43" s="23">
        <v>1032.3</v>
      </c>
      <c r="L43" s="24">
        <v>1.0323000000000001E-3</v>
      </c>
      <c r="M43" s="23">
        <v>1.90857524190858</v>
      </c>
    </row>
    <row r="44" spans="1:13" x14ac:dyDescent="0.2">
      <c r="A44" s="20" t="s">
        <v>92</v>
      </c>
      <c r="B44" s="21" t="s">
        <v>81</v>
      </c>
      <c r="C44" s="21" t="s">
        <v>162</v>
      </c>
      <c r="D44" s="21" t="s">
        <v>80</v>
      </c>
      <c r="E44" s="22">
        <v>44389</v>
      </c>
      <c r="F44" s="21">
        <v>67796</v>
      </c>
      <c r="G44" s="23">
        <v>3.17144</v>
      </c>
      <c r="H44" s="23">
        <v>2.1333333333333301E-2</v>
      </c>
      <c r="I44" s="23">
        <v>2.9039999999999999</v>
      </c>
      <c r="J44" s="23">
        <v>0.98766666666666703</v>
      </c>
      <c r="K44" s="23">
        <v>771.63333333333298</v>
      </c>
      <c r="L44" s="24">
        <v>7.7163333333333303E-4</v>
      </c>
      <c r="M44" s="23">
        <v>1.6726424467579599</v>
      </c>
    </row>
    <row r="45" spans="1:13" x14ac:dyDescent="0.2">
      <c r="A45" s="20" t="s">
        <v>93</v>
      </c>
      <c r="B45" s="21" t="s">
        <v>81</v>
      </c>
      <c r="C45" s="21" t="s">
        <v>162</v>
      </c>
      <c r="D45" s="21" t="s">
        <v>80</v>
      </c>
      <c r="E45" s="22">
        <v>44389</v>
      </c>
      <c r="F45" s="21">
        <v>67053</v>
      </c>
      <c r="G45" s="23">
        <v>3.1417199999999998</v>
      </c>
      <c r="H45" s="23">
        <v>0.13100000000000001</v>
      </c>
      <c r="I45" s="23">
        <v>6.5229999999999997</v>
      </c>
      <c r="J45" s="23">
        <v>0.93400000000000005</v>
      </c>
      <c r="K45" s="23">
        <v>648.20000000000005</v>
      </c>
      <c r="L45" s="24">
        <v>6.4820000000000003E-4</v>
      </c>
      <c r="M45" s="23">
        <v>4.4725564811957899</v>
      </c>
    </row>
    <row r="46" spans="1:13" x14ac:dyDescent="0.2">
      <c r="A46" s="20" t="s">
        <v>94</v>
      </c>
      <c r="B46" s="21" t="s">
        <v>81</v>
      </c>
      <c r="C46" s="21" t="s">
        <v>162</v>
      </c>
      <c r="D46" s="21" t="s">
        <v>80</v>
      </c>
      <c r="E46" s="22">
        <v>44389</v>
      </c>
      <c r="F46" s="21">
        <v>84182</v>
      </c>
      <c r="G46" s="23">
        <v>3.8268800000000001</v>
      </c>
      <c r="H46" s="23">
        <v>5.9999999999999901E-2</v>
      </c>
      <c r="I46" s="23">
        <v>4.18</v>
      </c>
      <c r="J46" s="23">
        <v>1.15211111111111</v>
      </c>
      <c r="K46" s="23">
        <v>1149.8555555555599</v>
      </c>
      <c r="L46" s="24">
        <v>1.1498555555555601E-3</v>
      </c>
      <c r="M46" s="23">
        <v>1.6156618705731101</v>
      </c>
    </row>
    <row r="47" spans="1:13" x14ac:dyDescent="0.2">
      <c r="A47" s="20" t="s">
        <v>95</v>
      </c>
      <c r="B47" s="21" t="s">
        <v>81</v>
      </c>
      <c r="C47" s="21" t="s">
        <v>162</v>
      </c>
      <c r="D47" s="21" t="s">
        <v>80</v>
      </c>
      <c r="E47" s="22">
        <v>44389</v>
      </c>
      <c r="F47" s="21">
        <v>52873</v>
      </c>
      <c r="G47" s="23">
        <v>2.5745200000000001</v>
      </c>
      <c r="H47" s="23">
        <v>3.3166666666666698E-2</v>
      </c>
      <c r="I47" s="23">
        <v>3.2945000000000002</v>
      </c>
      <c r="J47" s="23">
        <v>1.13866666666667</v>
      </c>
      <c r="K47" s="23">
        <v>1118.93333333333</v>
      </c>
      <c r="L47" s="24">
        <v>1.11893333333333E-3</v>
      </c>
      <c r="M47" s="23">
        <v>1.3085875436924099</v>
      </c>
    </row>
    <row r="48" spans="1:13" x14ac:dyDescent="0.2">
      <c r="A48" s="20" t="s">
        <v>107</v>
      </c>
      <c r="B48" s="21" t="s">
        <v>108</v>
      </c>
      <c r="C48" s="21" t="s">
        <v>162</v>
      </c>
      <c r="D48" s="21" t="s">
        <v>56</v>
      </c>
      <c r="E48" s="22">
        <v>44390</v>
      </c>
      <c r="F48" s="21">
        <v>67646</v>
      </c>
      <c r="G48" s="23">
        <v>3.1654399999999998</v>
      </c>
      <c r="H48" s="23">
        <v>8.3833333333333399E-2</v>
      </c>
      <c r="I48" s="23">
        <v>4.9664999999999999</v>
      </c>
      <c r="J48" s="23">
        <v>1.1686666666666701</v>
      </c>
      <c r="K48" s="23">
        <v>1187.93333333333</v>
      </c>
      <c r="L48" s="24">
        <v>1.1879333333333301E-3</v>
      </c>
      <c r="M48" s="23">
        <v>1.8581289634659599</v>
      </c>
    </row>
    <row r="49" spans="1:13" x14ac:dyDescent="0.2">
      <c r="A49" s="20" t="s">
        <v>109</v>
      </c>
      <c r="B49" s="21" t="s">
        <v>108</v>
      </c>
      <c r="C49" s="21" t="s">
        <v>162</v>
      </c>
      <c r="D49" s="21" t="s">
        <v>56</v>
      </c>
      <c r="E49" s="22">
        <v>44390</v>
      </c>
      <c r="F49" s="21">
        <v>44334</v>
      </c>
      <c r="G49" s="23">
        <v>2.2329599999999998</v>
      </c>
      <c r="H49" s="23">
        <v>0.158</v>
      </c>
      <c r="I49" s="23">
        <v>7.4139999999999997</v>
      </c>
      <c r="J49" s="23">
        <v>0.96866666666666701</v>
      </c>
      <c r="K49" s="23">
        <v>727.93333333333305</v>
      </c>
      <c r="L49" s="24">
        <v>7.2793333333333299E-4</v>
      </c>
      <c r="M49" s="23">
        <v>4.5266660561101402</v>
      </c>
    </row>
    <row r="50" spans="1:13" x14ac:dyDescent="0.2">
      <c r="A50" s="20" t="s">
        <v>110</v>
      </c>
      <c r="B50" s="21" t="s">
        <v>108</v>
      </c>
      <c r="C50" s="21" t="s">
        <v>162</v>
      </c>
      <c r="D50" s="21" t="s">
        <v>56</v>
      </c>
      <c r="E50" s="22">
        <v>44390</v>
      </c>
      <c r="F50" s="21">
        <v>93202</v>
      </c>
      <c r="G50" s="23">
        <v>4.1876800000000003</v>
      </c>
      <c r="H50" s="23">
        <v>9.6000000000000002E-2</v>
      </c>
      <c r="I50" s="23">
        <v>5.3680000000000003</v>
      </c>
      <c r="J50" s="23">
        <v>0.81133333333333302</v>
      </c>
      <c r="K50" s="23">
        <v>366.066666666667</v>
      </c>
      <c r="L50" s="24">
        <v>3.6606666666666698E-4</v>
      </c>
      <c r="M50" s="23">
        <v>6.5173313907606403</v>
      </c>
    </row>
    <row r="51" spans="1:13" x14ac:dyDescent="0.2">
      <c r="A51" s="20" t="s">
        <v>111</v>
      </c>
      <c r="B51" s="21" t="s">
        <v>108</v>
      </c>
      <c r="C51" s="21" t="s">
        <v>162</v>
      </c>
      <c r="D51" s="21" t="s">
        <v>56</v>
      </c>
      <c r="E51" s="22">
        <v>44390</v>
      </c>
      <c r="F51" s="21">
        <v>63234</v>
      </c>
      <c r="G51" s="23">
        <v>2.9889600000000001</v>
      </c>
      <c r="H51" s="23">
        <v>6.0999999999999999E-2</v>
      </c>
      <c r="I51" s="23">
        <v>4.2130000000000001</v>
      </c>
      <c r="J51" s="23">
        <v>0.92600000000000005</v>
      </c>
      <c r="K51" s="23">
        <v>629.79999999999995</v>
      </c>
      <c r="L51" s="24">
        <v>6.2980000000000002E-4</v>
      </c>
      <c r="M51" s="23">
        <v>2.9730778730461198</v>
      </c>
    </row>
    <row r="52" spans="1:13" x14ac:dyDescent="0.2">
      <c r="A52" s="20" t="s">
        <v>112</v>
      </c>
      <c r="B52" s="21" t="s">
        <v>108</v>
      </c>
      <c r="C52" s="21" t="s">
        <v>162</v>
      </c>
      <c r="D52" s="21" t="s">
        <v>56</v>
      </c>
      <c r="E52" s="22">
        <v>44390</v>
      </c>
      <c r="F52" s="21">
        <v>148032</v>
      </c>
      <c r="G52" s="23">
        <v>6.3808800000000003</v>
      </c>
      <c r="H52" s="23">
        <v>9.4111111111111104E-2</v>
      </c>
      <c r="I52" s="23">
        <v>5.3056666666666699</v>
      </c>
      <c r="J52" s="23">
        <v>1.0525</v>
      </c>
      <c r="K52" s="23">
        <v>920.75</v>
      </c>
      <c r="L52" s="24">
        <v>9.2075000000000002E-4</v>
      </c>
      <c r="M52" s="23">
        <v>2.56103619231504</v>
      </c>
    </row>
    <row r="53" spans="1:13" x14ac:dyDescent="0.2">
      <c r="A53" s="20" t="s">
        <v>113</v>
      </c>
      <c r="B53" s="21" t="s">
        <v>108</v>
      </c>
      <c r="C53" s="21" t="s">
        <v>162</v>
      </c>
      <c r="D53" s="21" t="s">
        <v>56</v>
      </c>
      <c r="E53" s="22">
        <v>44390</v>
      </c>
      <c r="F53" s="21">
        <v>121297</v>
      </c>
      <c r="G53" s="23">
        <v>5.3114800000000004</v>
      </c>
      <c r="H53" s="23">
        <v>3.6666666666666702E-2</v>
      </c>
      <c r="I53" s="23">
        <v>3.41</v>
      </c>
      <c r="J53" s="23">
        <v>1.0656666666666701</v>
      </c>
      <c r="K53" s="23">
        <v>951.03333333333399</v>
      </c>
      <c r="L53" s="24">
        <v>9.5103333333333403E-4</v>
      </c>
      <c r="M53" s="23">
        <v>1.59358826072225</v>
      </c>
    </row>
    <row r="54" spans="1:13" x14ac:dyDescent="0.2">
      <c r="A54" s="20" t="s">
        <v>114</v>
      </c>
      <c r="B54" s="21" t="s">
        <v>108</v>
      </c>
      <c r="C54" s="21" t="s">
        <v>162</v>
      </c>
      <c r="D54" s="21" t="s">
        <v>56</v>
      </c>
      <c r="E54" s="22">
        <v>44390</v>
      </c>
      <c r="F54" s="21">
        <v>85954</v>
      </c>
      <c r="G54" s="23">
        <v>3.8977599999999999</v>
      </c>
      <c r="H54" s="23">
        <v>7.775E-2</v>
      </c>
      <c r="I54" s="23">
        <v>4.7657499999999997</v>
      </c>
      <c r="J54" s="23">
        <v>0.86216666666666697</v>
      </c>
      <c r="K54" s="23">
        <v>482.98333333333301</v>
      </c>
      <c r="L54" s="24">
        <v>4.8298333333333298E-4</v>
      </c>
      <c r="M54" s="23">
        <v>4.3854745390340097</v>
      </c>
    </row>
    <row r="55" spans="1:13" x14ac:dyDescent="0.2">
      <c r="A55" s="20" t="s">
        <v>115</v>
      </c>
      <c r="B55" s="21" t="s">
        <v>108</v>
      </c>
      <c r="C55" s="21" t="s">
        <v>162</v>
      </c>
      <c r="D55" s="21" t="s">
        <v>56</v>
      </c>
      <c r="E55" s="22">
        <v>44390</v>
      </c>
      <c r="F55" s="21">
        <v>58748</v>
      </c>
      <c r="G55" s="23">
        <v>2.80952</v>
      </c>
      <c r="H55" s="23">
        <v>1.2E-2</v>
      </c>
      <c r="I55" s="23">
        <v>2.5960000000000001</v>
      </c>
      <c r="J55" s="23">
        <v>0.80683333333333296</v>
      </c>
      <c r="K55" s="23">
        <v>355.71666666666601</v>
      </c>
      <c r="L55" s="24">
        <v>3.55716666666666E-4</v>
      </c>
      <c r="M55" s="23">
        <v>3.2435302753439901</v>
      </c>
    </row>
    <row r="56" spans="1:13" x14ac:dyDescent="0.2">
      <c r="A56" s="20" t="s">
        <v>116</v>
      </c>
      <c r="B56" s="21" t="s">
        <v>108</v>
      </c>
      <c r="C56" s="21" t="s">
        <v>162</v>
      </c>
      <c r="D56" s="21" t="s">
        <v>56</v>
      </c>
      <c r="E56" s="22">
        <v>44390</v>
      </c>
      <c r="F56" s="21">
        <v>67523</v>
      </c>
      <c r="G56" s="23">
        <v>3.16052</v>
      </c>
      <c r="H56" s="23">
        <v>7.11666666666666E-2</v>
      </c>
      <c r="I56" s="23">
        <v>4.5484999999999998</v>
      </c>
      <c r="J56" s="23">
        <v>1.1073333333333299</v>
      </c>
      <c r="K56" s="23">
        <v>1046.86666666667</v>
      </c>
      <c r="L56" s="24">
        <v>1.04686666666667E-3</v>
      </c>
      <c r="M56" s="23">
        <v>1.9310535141904901</v>
      </c>
    </row>
    <row r="57" spans="1:13" x14ac:dyDescent="0.2">
      <c r="A57" s="20" t="s">
        <v>117</v>
      </c>
      <c r="B57" s="21" t="s">
        <v>108</v>
      </c>
      <c r="C57" s="21" t="s">
        <v>162</v>
      </c>
      <c r="D57" s="21" t="s">
        <v>56</v>
      </c>
      <c r="E57" s="22">
        <v>44390</v>
      </c>
      <c r="F57" s="21">
        <v>126742</v>
      </c>
      <c r="G57" s="23">
        <v>5.52928</v>
      </c>
      <c r="H57" s="23">
        <v>2.4666666666666701E-2</v>
      </c>
      <c r="I57" s="23">
        <v>3.0139999999999998</v>
      </c>
      <c r="J57" s="23">
        <v>0.86366666666666703</v>
      </c>
      <c r="K57" s="23">
        <v>486.433333333333</v>
      </c>
      <c r="L57" s="24">
        <v>4.8643333333333298E-4</v>
      </c>
      <c r="M57" s="23">
        <v>2.7538317458142001</v>
      </c>
    </row>
    <row r="58" spans="1:13" x14ac:dyDescent="0.2">
      <c r="A58" s="20" t="s">
        <v>68</v>
      </c>
      <c r="B58" s="21" t="s">
        <v>70</v>
      </c>
      <c r="C58" s="21" t="s">
        <v>162</v>
      </c>
      <c r="D58" s="21" t="s">
        <v>56</v>
      </c>
      <c r="E58" s="22">
        <v>44389</v>
      </c>
      <c r="F58" s="21">
        <v>137178</v>
      </c>
      <c r="G58" s="23">
        <v>5.94672</v>
      </c>
      <c r="H58" s="23">
        <v>1.7000000000000001E-2</v>
      </c>
      <c r="I58" s="23">
        <v>2.7610000000000001</v>
      </c>
      <c r="J58" s="23">
        <v>0.95550000000000002</v>
      </c>
      <c r="K58" s="23">
        <v>697.65</v>
      </c>
      <c r="L58" s="24">
        <v>6.9764999999999996E-4</v>
      </c>
      <c r="M58" s="23">
        <v>1.7589208214880101</v>
      </c>
    </row>
    <row r="59" spans="1:13" x14ac:dyDescent="0.2">
      <c r="A59" s="20" t="s">
        <v>71</v>
      </c>
      <c r="B59" s="21" t="s">
        <v>70</v>
      </c>
      <c r="C59" s="21" t="s">
        <v>162</v>
      </c>
      <c r="D59" s="21" t="s">
        <v>56</v>
      </c>
      <c r="E59" s="22">
        <v>44389</v>
      </c>
      <c r="F59" s="21">
        <v>50645</v>
      </c>
      <c r="G59" s="23">
        <v>2.4853999999999998</v>
      </c>
      <c r="H59" s="23">
        <v>6.6333333333333397E-2</v>
      </c>
      <c r="I59" s="23">
        <v>4.3890000000000002</v>
      </c>
      <c r="J59" s="23">
        <v>0.87066666666666703</v>
      </c>
      <c r="K59" s="23">
        <v>502.53333333333302</v>
      </c>
      <c r="L59" s="24">
        <v>5.0253333333333304E-4</v>
      </c>
      <c r="M59" s="23">
        <v>3.88166622446272</v>
      </c>
    </row>
    <row r="60" spans="1:13" x14ac:dyDescent="0.2">
      <c r="A60" s="20" t="s">
        <v>72</v>
      </c>
      <c r="B60" s="21" t="s">
        <v>70</v>
      </c>
      <c r="C60" s="21" t="s">
        <v>162</v>
      </c>
      <c r="D60" s="21" t="s">
        <v>56</v>
      </c>
      <c r="E60" s="22">
        <v>44389</v>
      </c>
      <c r="F60" s="21">
        <v>81631</v>
      </c>
      <c r="G60" s="23">
        <v>3.7248399999999999</v>
      </c>
      <c r="H60" s="23">
        <v>-2E-3</v>
      </c>
      <c r="I60" s="23">
        <v>2.1339999999999999</v>
      </c>
      <c r="J60" s="23">
        <v>1.2506666666666699</v>
      </c>
      <c r="K60" s="23">
        <v>1376.5333333333299</v>
      </c>
      <c r="L60" s="24">
        <v>1.37653333333333E-3</v>
      </c>
      <c r="M60" s="23">
        <v>0.68900942787033403</v>
      </c>
    </row>
    <row r="61" spans="1:13" x14ac:dyDescent="0.2">
      <c r="A61" s="20" t="s">
        <v>73</v>
      </c>
      <c r="B61" s="21" t="s">
        <v>70</v>
      </c>
      <c r="C61" s="21" t="s">
        <v>162</v>
      </c>
      <c r="D61" s="21" t="s">
        <v>56</v>
      </c>
      <c r="E61" s="22">
        <v>44389</v>
      </c>
      <c r="F61" s="21">
        <v>133907</v>
      </c>
      <c r="G61" s="23">
        <v>5.8158799999999999</v>
      </c>
      <c r="H61" s="23">
        <v>5.8999999999999997E-2</v>
      </c>
      <c r="I61" s="23">
        <v>4.1470000000000002</v>
      </c>
      <c r="J61" s="23">
        <v>1.0900000000000001</v>
      </c>
      <c r="K61" s="23">
        <v>1007</v>
      </c>
      <c r="L61" s="24">
        <v>1.0070000000000001E-3</v>
      </c>
      <c r="M61" s="23">
        <v>1.8302990179852101</v>
      </c>
    </row>
    <row r="62" spans="1:13" x14ac:dyDescent="0.2">
      <c r="A62" s="20" t="s">
        <v>77</v>
      </c>
      <c r="B62" s="21" t="s">
        <v>70</v>
      </c>
      <c r="C62" s="21" t="s">
        <v>162</v>
      </c>
      <c r="D62" s="21" t="s">
        <v>56</v>
      </c>
      <c r="E62" s="22">
        <v>44389</v>
      </c>
      <c r="F62" s="21">
        <v>46708</v>
      </c>
      <c r="G62" s="23">
        <v>2.3279200000000002</v>
      </c>
      <c r="H62" s="23">
        <v>4.3666666666666701E-2</v>
      </c>
      <c r="I62" s="23">
        <v>3.641</v>
      </c>
      <c r="J62" s="23">
        <v>1.04066666666667</v>
      </c>
      <c r="K62" s="23">
        <v>893.53333333333296</v>
      </c>
      <c r="L62" s="24">
        <v>8.9353333333333301E-4</v>
      </c>
      <c r="M62" s="23">
        <v>1.8110373299510101</v>
      </c>
    </row>
    <row r="63" spans="1:13" x14ac:dyDescent="0.2">
      <c r="A63" s="20" t="s">
        <v>78</v>
      </c>
      <c r="B63" s="21" t="s">
        <v>70</v>
      </c>
      <c r="C63" s="21" t="s">
        <v>162</v>
      </c>
      <c r="D63" s="21" t="s">
        <v>56</v>
      </c>
      <c r="E63" s="22">
        <v>44389</v>
      </c>
      <c r="F63" s="21">
        <v>74126</v>
      </c>
      <c r="G63" s="23">
        <v>3.4246400000000001</v>
      </c>
      <c r="H63" s="23">
        <v>3.03333333333334E-2</v>
      </c>
      <c r="I63" s="23">
        <v>3.2010000000000001</v>
      </c>
      <c r="J63" s="23">
        <v>1.16366666666667</v>
      </c>
      <c r="K63" s="23">
        <v>1176.43333333333</v>
      </c>
      <c r="L63" s="24">
        <v>1.1764333333333301E-3</v>
      </c>
      <c r="M63" s="23">
        <v>1.2093049613237801</v>
      </c>
    </row>
    <row r="64" spans="1:13" x14ac:dyDescent="0.2">
      <c r="A64" s="20" t="s">
        <v>88</v>
      </c>
      <c r="B64" s="21" t="s">
        <v>70</v>
      </c>
      <c r="C64" s="21" t="s">
        <v>162</v>
      </c>
      <c r="D64" s="21" t="s">
        <v>56</v>
      </c>
      <c r="E64" s="22">
        <v>44389</v>
      </c>
      <c r="F64" s="21">
        <v>145495</v>
      </c>
      <c r="G64" s="23">
        <v>6.2793999999999999</v>
      </c>
      <c r="H64" s="23">
        <v>3.3333333333333298E-2</v>
      </c>
      <c r="I64" s="23">
        <v>3.3</v>
      </c>
      <c r="J64" s="23">
        <v>1.01366666666667</v>
      </c>
      <c r="K64" s="23">
        <v>831.43333333333305</v>
      </c>
      <c r="L64" s="24">
        <v>8.3143333333333296E-4</v>
      </c>
      <c r="M64" s="23">
        <v>1.7640219700918101</v>
      </c>
    </row>
    <row r="65" spans="1:13" x14ac:dyDescent="0.2">
      <c r="A65" s="20" t="s">
        <v>89</v>
      </c>
      <c r="B65" s="21" t="s">
        <v>70</v>
      </c>
      <c r="C65" s="21" t="s">
        <v>162</v>
      </c>
      <c r="D65" s="21" t="s">
        <v>56</v>
      </c>
      <c r="E65" s="22">
        <v>44389</v>
      </c>
      <c r="F65" s="21">
        <v>155580</v>
      </c>
      <c r="G65" s="23">
        <v>6.6828000000000003</v>
      </c>
      <c r="H65" s="23">
        <v>0.05</v>
      </c>
      <c r="I65" s="23">
        <v>3.85</v>
      </c>
      <c r="J65" s="23">
        <v>1.0189999999999999</v>
      </c>
      <c r="K65" s="23">
        <v>843.7</v>
      </c>
      <c r="L65" s="24">
        <v>8.4369999999999996E-4</v>
      </c>
      <c r="M65" s="23">
        <v>2.02810372301898</v>
      </c>
    </row>
    <row r="66" spans="1:13" x14ac:dyDescent="0.2">
      <c r="A66" s="20" t="s">
        <v>90</v>
      </c>
      <c r="B66" s="21" t="s">
        <v>70</v>
      </c>
      <c r="C66" s="21" t="s">
        <v>162</v>
      </c>
      <c r="D66" s="21" t="s">
        <v>56</v>
      </c>
      <c r="E66" s="22">
        <v>44389</v>
      </c>
      <c r="F66" s="21">
        <v>63987</v>
      </c>
      <c r="G66" s="23">
        <v>3.0190800000000002</v>
      </c>
      <c r="H66" s="23">
        <v>3.3222222222222202E-2</v>
      </c>
      <c r="I66" s="23">
        <v>3.29633333333333</v>
      </c>
      <c r="J66" s="23">
        <v>1.1015555555555601</v>
      </c>
      <c r="K66" s="23">
        <v>1033.5777777777801</v>
      </c>
      <c r="L66" s="24">
        <v>1.03357777777778E-3</v>
      </c>
      <c r="M66" s="23">
        <v>1.41744246880666</v>
      </c>
    </row>
    <row r="67" spans="1:13" x14ac:dyDescent="0.2">
      <c r="A67" s="20" t="s">
        <v>91</v>
      </c>
      <c r="B67" s="21" t="s">
        <v>70</v>
      </c>
      <c r="C67" s="21" t="s">
        <v>162</v>
      </c>
      <c r="D67" s="21" t="s">
        <v>56</v>
      </c>
      <c r="E67" s="22">
        <v>44389</v>
      </c>
      <c r="F67" s="21">
        <v>52622</v>
      </c>
      <c r="G67" s="23">
        <v>2.5644800000000001</v>
      </c>
      <c r="H67" s="23">
        <v>5.1833333333333301E-2</v>
      </c>
      <c r="I67" s="23">
        <v>3.9104999999999999</v>
      </c>
      <c r="J67" s="23">
        <v>1.0186666666666699</v>
      </c>
      <c r="K67" s="23">
        <v>842.93333333333305</v>
      </c>
      <c r="L67" s="24">
        <v>8.4293333333333297E-4</v>
      </c>
      <c r="M67" s="23">
        <v>2.0618475166086698</v>
      </c>
    </row>
    <row r="68" spans="1:13" x14ac:dyDescent="0.2">
      <c r="H68" s="1"/>
      <c r="I68" s="1"/>
      <c r="J68" s="1"/>
      <c r="K68" s="1"/>
      <c r="L68" s="1"/>
      <c r="M68" s="1"/>
    </row>
    <row r="69" spans="1:13" x14ac:dyDescent="0.2">
      <c r="H69" s="1"/>
      <c r="I69" s="1"/>
      <c r="J69" s="1"/>
      <c r="K69" s="1"/>
      <c r="L69" s="1"/>
      <c r="M69" s="1"/>
    </row>
    <row r="70" spans="1:13" x14ac:dyDescent="0.2">
      <c r="H70" s="1"/>
      <c r="I70" s="1"/>
      <c r="J70" s="1"/>
      <c r="K70" s="1"/>
      <c r="L70" s="1"/>
      <c r="M70" s="1"/>
    </row>
    <row r="71" spans="1:13" x14ac:dyDescent="0.2">
      <c r="H71" s="1"/>
      <c r="I71" s="1"/>
      <c r="J71" s="1"/>
      <c r="K71" s="1"/>
      <c r="L71" s="1"/>
      <c r="M71" s="1"/>
    </row>
    <row r="72" spans="1:13" x14ac:dyDescent="0.2">
      <c r="H72" s="1"/>
      <c r="I72" s="1"/>
      <c r="J72" s="1"/>
      <c r="K72" s="1"/>
      <c r="L72" s="1"/>
      <c r="M72" s="1"/>
    </row>
    <row r="73" spans="1:13" x14ac:dyDescent="0.2">
      <c r="H73" s="1"/>
      <c r="I73" s="1"/>
      <c r="J73" s="1"/>
      <c r="K73" s="1"/>
      <c r="L73" s="1"/>
      <c r="M73" s="1"/>
    </row>
    <row r="74" spans="1:13" x14ac:dyDescent="0.2">
      <c r="H74" s="1"/>
      <c r="I74" s="1"/>
      <c r="J74" s="1"/>
      <c r="K74" s="1"/>
      <c r="L74" s="1"/>
      <c r="M74" s="1"/>
    </row>
    <row r="75" spans="1:13" x14ac:dyDescent="0.2">
      <c r="H75" s="1"/>
      <c r="I75" s="1"/>
      <c r="J75" s="1"/>
      <c r="K75" s="1"/>
      <c r="L75" s="1"/>
      <c r="M75" s="1"/>
    </row>
    <row r="76" spans="1:13" x14ac:dyDescent="0.2">
      <c r="H76" s="1"/>
      <c r="I76" s="1"/>
      <c r="J76" s="1"/>
      <c r="K76" s="1"/>
      <c r="L76" s="1"/>
      <c r="M76" s="1"/>
    </row>
    <row r="77" spans="1:13" x14ac:dyDescent="0.2">
      <c r="H77" s="1"/>
      <c r="I77" s="1"/>
      <c r="J77" s="1"/>
      <c r="K77" s="1"/>
      <c r="L77" s="1"/>
      <c r="M77" s="1"/>
    </row>
    <row r="78" spans="1:13" x14ac:dyDescent="0.2">
      <c r="H78" s="1"/>
      <c r="I78" s="1"/>
      <c r="J78" s="1"/>
      <c r="K78" s="1"/>
      <c r="L78" s="1"/>
      <c r="M78" s="1"/>
    </row>
    <row r="79" spans="1:13" x14ac:dyDescent="0.2">
      <c r="H79" s="1"/>
      <c r="I79" s="1"/>
      <c r="J79" s="1"/>
      <c r="K79" s="1"/>
      <c r="L79" s="1"/>
      <c r="M79" s="1"/>
    </row>
    <row r="80" spans="1:13" x14ac:dyDescent="0.2">
      <c r="H80" s="1"/>
      <c r="I80" s="1"/>
      <c r="J80" s="1"/>
      <c r="K80" s="1"/>
      <c r="L80" s="1"/>
      <c r="M80" s="1"/>
    </row>
    <row r="81" spans="8:13" x14ac:dyDescent="0.2">
      <c r="H81" s="1"/>
      <c r="I81" s="1"/>
      <c r="J81" s="1"/>
      <c r="K81" s="1"/>
      <c r="L81" s="1"/>
      <c r="M81" s="1"/>
    </row>
    <row r="82" spans="8:13" x14ac:dyDescent="0.2">
      <c r="H82" s="1"/>
      <c r="I82" s="1"/>
      <c r="J82" s="1"/>
      <c r="K82" s="1"/>
      <c r="L82" s="1"/>
      <c r="M82" s="1"/>
    </row>
    <row r="83" spans="8:13" x14ac:dyDescent="0.2">
      <c r="H83" s="1"/>
      <c r="I83" s="1"/>
      <c r="J83" s="1"/>
      <c r="K83" s="1"/>
      <c r="L83" s="1"/>
      <c r="M83" s="1"/>
    </row>
    <row r="84" spans="8:13" x14ac:dyDescent="0.2">
      <c r="H84" s="1"/>
      <c r="I84" s="1"/>
      <c r="J84" s="1"/>
      <c r="K84" s="1"/>
      <c r="L84" s="1"/>
      <c r="M84" s="1"/>
    </row>
    <row r="85" spans="8:13" x14ac:dyDescent="0.2">
      <c r="H85" s="1"/>
      <c r="I85" s="1"/>
      <c r="J85" s="1"/>
      <c r="K85" s="1"/>
      <c r="L85" s="1"/>
      <c r="M85" s="1"/>
    </row>
    <row r="86" spans="8:13" x14ac:dyDescent="0.2">
      <c r="H86" s="1"/>
      <c r="I86" s="1"/>
      <c r="J86" s="1"/>
      <c r="K86" s="1"/>
      <c r="L86" s="1"/>
      <c r="M86" s="1"/>
    </row>
    <row r="87" spans="8:13" x14ac:dyDescent="0.2">
      <c r="H87" s="1"/>
      <c r="I87" s="1"/>
      <c r="J87" s="1"/>
      <c r="K87" s="1"/>
      <c r="L87" s="1"/>
      <c r="M87" s="1"/>
    </row>
    <row r="88" spans="8:13" x14ac:dyDescent="0.2">
      <c r="H88" s="1"/>
      <c r="I88" s="1"/>
      <c r="J88" s="1"/>
      <c r="K88" s="1"/>
      <c r="L88" s="1"/>
      <c r="M88" s="1"/>
    </row>
    <row r="89" spans="8:13" x14ac:dyDescent="0.2">
      <c r="H89" s="1"/>
      <c r="I89" s="1"/>
      <c r="J89" s="1"/>
      <c r="K89" s="1"/>
      <c r="L89" s="1"/>
      <c r="M89" s="1"/>
    </row>
    <row r="90" spans="8:13" x14ac:dyDescent="0.2">
      <c r="H90" s="1"/>
      <c r="I90" s="1"/>
      <c r="J90" s="1"/>
      <c r="K90" s="1"/>
      <c r="L90" s="1"/>
      <c r="M90" s="1"/>
    </row>
    <row r="91" spans="8:13" x14ac:dyDescent="0.2">
      <c r="H91" s="1"/>
      <c r="I91" s="1"/>
      <c r="J91" s="1"/>
      <c r="K91" s="1"/>
      <c r="L91" s="1"/>
      <c r="M91" s="1"/>
    </row>
    <row r="92" spans="8:13" x14ac:dyDescent="0.2">
      <c r="H92" s="1"/>
      <c r="I92" s="1"/>
      <c r="J92" s="1"/>
      <c r="K92" s="1"/>
      <c r="L92" s="1"/>
      <c r="M92" s="1"/>
    </row>
    <row r="93" spans="8:13" x14ac:dyDescent="0.2">
      <c r="H93" s="1"/>
      <c r="I93" s="1"/>
      <c r="J93" s="1"/>
      <c r="K93" s="1"/>
      <c r="L93" s="1"/>
      <c r="M93" s="1"/>
    </row>
    <row r="94" spans="8:13" x14ac:dyDescent="0.2">
      <c r="H94" s="1"/>
      <c r="I94" s="1"/>
      <c r="J94" s="1"/>
      <c r="K94" s="1"/>
      <c r="L94" s="1"/>
      <c r="M94" s="1"/>
    </row>
    <row r="95" spans="8:13" x14ac:dyDescent="0.2">
      <c r="H95" s="1"/>
      <c r="I95" s="1"/>
      <c r="J95" s="1"/>
      <c r="K95" s="1"/>
      <c r="L95" s="1"/>
      <c r="M95" s="1"/>
    </row>
    <row r="96" spans="8:13" x14ac:dyDescent="0.2">
      <c r="H96" s="1"/>
      <c r="I96" s="1"/>
      <c r="J96" s="1"/>
      <c r="K96" s="1"/>
      <c r="L96" s="1"/>
      <c r="M96" s="1"/>
    </row>
    <row r="97" spans="8:13" x14ac:dyDescent="0.2">
      <c r="H97" s="1"/>
      <c r="I97" s="1"/>
      <c r="J97" s="1"/>
      <c r="K97" s="1"/>
      <c r="L97" s="1"/>
      <c r="M97" s="1"/>
    </row>
    <row r="98" spans="8:13" x14ac:dyDescent="0.2">
      <c r="H98" s="1"/>
      <c r="I98" s="1"/>
      <c r="J98" s="1"/>
      <c r="K98" s="1"/>
      <c r="L98" s="1"/>
      <c r="M98" s="1"/>
    </row>
    <row r="99" spans="8:13" x14ac:dyDescent="0.2">
      <c r="H99" s="1"/>
      <c r="I99" s="1"/>
      <c r="J99" s="1"/>
      <c r="K99" s="1"/>
      <c r="L99" s="1"/>
      <c r="M99" s="1"/>
    </row>
    <row r="100" spans="8:13" x14ac:dyDescent="0.2">
      <c r="H100" s="1"/>
      <c r="I100" s="1"/>
      <c r="J100" s="1"/>
      <c r="K100" s="1"/>
      <c r="L100" s="1"/>
      <c r="M100" s="1"/>
    </row>
    <row r="101" spans="8:13" x14ac:dyDescent="0.2">
      <c r="H101" s="1"/>
      <c r="I101" s="1"/>
      <c r="J101" s="1"/>
      <c r="K101" s="1"/>
      <c r="L101" s="1"/>
      <c r="M101" s="1"/>
    </row>
    <row r="102" spans="8:13" x14ac:dyDescent="0.2">
      <c r="H102" s="1"/>
      <c r="I102" s="1"/>
      <c r="J102" s="1"/>
      <c r="K102" s="1"/>
      <c r="L102" s="1"/>
      <c r="M102" s="1"/>
    </row>
    <row r="103" spans="8:13" x14ac:dyDescent="0.2">
      <c r="H103" s="1"/>
      <c r="I103" s="1"/>
      <c r="J103" s="1"/>
      <c r="K103" s="1"/>
      <c r="L103" s="1"/>
      <c r="M103" s="1"/>
    </row>
    <row r="104" spans="8:13" x14ac:dyDescent="0.2">
      <c r="H104" s="1"/>
      <c r="I104" s="1"/>
      <c r="J104" s="1"/>
      <c r="K104" s="1"/>
      <c r="L104" s="1"/>
      <c r="M104" s="1"/>
    </row>
    <row r="105" spans="8:13" x14ac:dyDescent="0.2">
      <c r="H105" s="1"/>
      <c r="I105" s="1"/>
      <c r="J105" s="1"/>
      <c r="K105" s="1"/>
      <c r="L105" s="1"/>
      <c r="M105" s="1"/>
    </row>
    <row r="106" spans="8:13" x14ac:dyDescent="0.2">
      <c r="H106" s="1"/>
      <c r="I106" s="1"/>
      <c r="J106" s="1"/>
      <c r="K106" s="1"/>
      <c r="L106" s="1"/>
      <c r="M106" s="1"/>
    </row>
    <row r="107" spans="8:13" x14ac:dyDescent="0.2">
      <c r="H107" s="1"/>
      <c r="I107" s="1"/>
      <c r="J107" s="1"/>
      <c r="K107" s="1"/>
      <c r="L107" s="1"/>
      <c r="M107" s="1"/>
    </row>
    <row r="108" spans="8:13" x14ac:dyDescent="0.2">
      <c r="H108" s="1"/>
      <c r="I108" s="1"/>
      <c r="J108" s="1"/>
      <c r="K108" s="1"/>
      <c r="L108" s="1"/>
      <c r="M108" s="1"/>
    </row>
    <row r="109" spans="8:13" x14ac:dyDescent="0.2">
      <c r="H109" s="1"/>
      <c r="I109" s="1"/>
      <c r="J109" s="1"/>
      <c r="K109" s="1"/>
      <c r="L109" s="1"/>
      <c r="M109" s="1"/>
    </row>
    <row r="110" spans="8:13" x14ac:dyDescent="0.2">
      <c r="H110" s="1"/>
      <c r="I110" s="1"/>
      <c r="J110" s="1"/>
      <c r="K110" s="1"/>
      <c r="L110" s="1"/>
      <c r="M110" s="1"/>
    </row>
    <row r="111" spans="8:13" x14ac:dyDescent="0.2">
      <c r="H111" s="1"/>
      <c r="I111" s="1"/>
      <c r="J111" s="1"/>
      <c r="K111" s="1"/>
      <c r="L111" s="1"/>
      <c r="M111" s="1"/>
    </row>
    <row r="112" spans="8:13" x14ac:dyDescent="0.2">
      <c r="H112" s="1"/>
      <c r="I112" s="1"/>
      <c r="J112" s="1"/>
      <c r="K112" s="1"/>
      <c r="L112" s="1"/>
      <c r="M112" s="1"/>
    </row>
    <row r="113" spans="8:13" x14ac:dyDescent="0.2">
      <c r="H113" s="1"/>
      <c r="I113" s="1"/>
      <c r="J113" s="1"/>
      <c r="K113" s="1"/>
      <c r="L113" s="1"/>
      <c r="M113" s="1"/>
    </row>
    <row r="114" spans="8:13" x14ac:dyDescent="0.2">
      <c r="H114" s="1"/>
      <c r="I114" s="1"/>
      <c r="J114" s="1"/>
      <c r="K114" s="1"/>
      <c r="L114" s="1"/>
      <c r="M114" s="1"/>
    </row>
    <row r="115" spans="8:13" x14ac:dyDescent="0.2">
      <c r="H115" s="1"/>
      <c r="I115" s="1"/>
      <c r="J115" s="1"/>
      <c r="K115" s="1"/>
      <c r="L115" s="1"/>
      <c r="M115" s="1"/>
    </row>
    <row r="116" spans="8:13" x14ac:dyDescent="0.2">
      <c r="H116" s="1"/>
      <c r="I116" s="1"/>
      <c r="J116" s="1"/>
      <c r="K116" s="1"/>
      <c r="L116" s="1"/>
      <c r="M116" s="1"/>
    </row>
    <row r="117" spans="8:13" x14ac:dyDescent="0.2">
      <c r="H117" s="1"/>
      <c r="I117" s="1"/>
      <c r="J117" s="1"/>
      <c r="K117" s="1"/>
      <c r="L117" s="1"/>
      <c r="M117" s="1"/>
    </row>
    <row r="118" spans="8:13" x14ac:dyDescent="0.2">
      <c r="H118" s="1"/>
      <c r="I118" s="1"/>
      <c r="J118" s="1"/>
      <c r="K118" s="1"/>
      <c r="L118" s="1"/>
      <c r="M118" s="1"/>
    </row>
    <row r="119" spans="8:13" x14ac:dyDescent="0.2">
      <c r="H119" s="1"/>
      <c r="I119" s="1"/>
      <c r="J119" s="1"/>
      <c r="K119" s="1"/>
      <c r="L119" s="1"/>
      <c r="M119" s="1"/>
    </row>
    <row r="120" spans="8:13" x14ac:dyDescent="0.2">
      <c r="H120" s="1"/>
      <c r="I120" s="1"/>
      <c r="J120" s="1"/>
      <c r="K120" s="1"/>
      <c r="L120" s="1"/>
      <c r="M120" s="1"/>
    </row>
    <row r="121" spans="8:13" x14ac:dyDescent="0.2">
      <c r="H121" s="1"/>
      <c r="I121" s="1"/>
      <c r="J121" s="1"/>
      <c r="K121" s="1"/>
      <c r="L121" s="1"/>
      <c r="M121" s="1"/>
    </row>
    <row r="122" spans="8:13" x14ac:dyDescent="0.2">
      <c r="H122" s="1"/>
      <c r="I122" s="1"/>
      <c r="J122" s="1"/>
      <c r="K122" s="1"/>
      <c r="L122" s="1"/>
      <c r="M122" s="1"/>
    </row>
    <row r="123" spans="8:13" x14ac:dyDescent="0.2">
      <c r="H123" s="1"/>
      <c r="I123" s="1"/>
      <c r="J123" s="1"/>
      <c r="K123" s="1"/>
      <c r="L123" s="1"/>
      <c r="M123" s="1"/>
    </row>
    <row r="124" spans="8:13" x14ac:dyDescent="0.2">
      <c r="H124" s="1"/>
      <c r="I124" s="1"/>
      <c r="J124" s="1"/>
      <c r="K124" s="1"/>
      <c r="L124" s="1"/>
      <c r="M124" s="1"/>
    </row>
    <row r="125" spans="8:13" x14ac:dyDescent="0.2">
      <c r="H125" s="1"/>
      <c r="I125" s="1"/>
      <c r="J125" s="1"/>
      <c r="K125" s="1"/>
      <c r="L125" s="1"/>
      <c r="M125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ACD3-39AC-F646-AF55-B63DE304CBA8}">
  <dimension ref="A1:Z62"/>
  <sheetViews>
    <sheetView topLeftCell="E1" workbookViewId="0">
      <selection activeCell="AA1" sqref="AA1"/>
    </sheetView>
  </sheetViews>
  <sheetFormatPr baseColWidth="10" defaultColWidth="8.83203125" defaultRowHeight="16" x14ac:dyDescent="0.2"/>
  <cols>
    <col min="1" max="2" width="8.83203125" style="28"/>
    <col min="3" max="4" width="13.5" style="28" customWidth="1"/>
    <col min="5" max="5" width="16.83203125" style="28" bestFit="1" customWidth="1"/>
    <col min="6" max="7" width="13.5" style="28" customWidth="1"/>
    <col min="8" max="8" width="19.1640625" style="28" customWidth="1"/>
    <col min="9" max="9" width="8.1640625" customWidth="1"/>
    <col min="10" max="10" width="6" customWidth="1"/>
    <col min="11" max="11" width="11" customWidth="1"/>
    <col min="12" max="12" width="7.6640625" customWidth="1"/>
    <col min="13" max="13" width="5.83203125" customWidth="1"/>
    <col min="14" max="14" width="10.5" customWidth="1"/>
  </cols>
  <sheetData>
    <row r="1" spans="1:26" s="18" customFormat="1" ht="15" x14ac:dyDescent="0.2">
      <c r="A1" s="29" t="s">
        <v>29</v>
      </c>
      <c r="B1" s="29" t="s">
        <v>180</v>
      </c>
      <c r="C1" s="29" t="s">
        <v>42</v>
      </c>
      <c r="D1" s="29" t="s">
        <v>181</v>
      </c>
      <c r="E1" s="29" t="s">
        <v>182</v>
      </c>
      <c r="F1" s="29" t="s">
        <v>81</v>
      </c>
      <c r="G1" s="29" t="s">
        <v>183</v>
      </c>
      <c r="H1" s="29" t="s">
        <v>184</v>
      </c>
      <c r="I1" s="18" t="s">
        <v>185</v>
      </c>
      <c r="J1" s="18" t="s">
        <v>186</v>
      </c>
      <c r="K1" s="18" t="s">
        <v>187</v>
      </c>
      <c r="L1" s="18" t="s">
        <v>188</v>
      </c>
      <c r="M1" s="18" t="s">
        <v>189</v>
      </c>
      <c r="N1" s="18" t="s">
        <v>190</v>
      </c>
      <c r="O1" s="18" t="s">
        <v>191</v>
      </c>
      <c r="P1" s="18" t="s">
        <v>192</v>
      </c>
      <c r="Q1" s="18" t="s">
        <v>193</v>
      </c>
      <c r="R1" s="18" t="s">
        <v>194</v>
      </c>
      <c r="S1" s="18" t="s">
        <v>195</v>
      </c>
      <c r="T1" s="18" t="s">
        <v>196</v>
      </c>
      <c r="U1" s="18" t="s">
        <v>197</v>
      </c>
      <c r="V1" s="18" t="s">
        <v>198</v>
      </c>
      <c r="W1" s="18" t="s">
        <v>199</v>
      </c>
      <c r="X1" s="18" t="s">
        <v>200</v>
      </c>
      <c r="Y1" s="18" t="s">
        <v>201</v>
      </c>
      <c r="Z1" s="18" t="s">
        <v>202</v>
      </c>
    </row>
    <row r="2" spans="1:26" x14ac:dyDescent="0.2">
      <c r="A2" s="28">
        <v>-30</v>
      </c>
      <c r="B2" s="28">
        <v>0</v>
      </c>
      <c r="C2" s="28">
        <v>88</v>
      </c>
      <c r="D2" s="28">
        <v>88</v>
      </c>
      <c r="E2" s="28">
        <v>88</v>
      </c>
      <c r="F2" s="28">
        <v>88</v>
      </c>
      <c r="G2" s="28">
        <v>88</v>
      </c>
      <c r="H2" s="28">
        <v>88</v>
      </c>
      <c r="I2">
        <f>($C$2-C2)/C2</f>
        <v>0</v>
      </c>
      <c r="J2">
        <f>($C$2-D2)/D2</f>
        <v>0</v>
      </c>
      <c r="K2">
        <f t="shared" ref="K2:N2" si="0">($C$2-E2)/E2</f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>1-I2</f>
        <v>1</v>
      </c>
      <c r="P2">
        <f t="shared" ref="P2:T2" si="1">1-J2</f>
        <v>1</v>
      </c>
      <c r="Q2">
        <f t="shared" si="1"/>
        <v>1</v>
      </c>
      <c r="R2">
        <f t="shared" si="1"/>
        <v>1</v>
      </c>
      <c r="S2">
        <f t="shared" si="1"/>
        <v>1</v>
      </c>
      <c r="T2">
        <f t="shared" si="1"/>
        <v>1</v>
      </c>
      <c r="U2">
        <f>O2*1</f>
        <v>1</v>
      </c>
      <c r="V2">
        <f>P2*1</f>
        <v>1</v>
      </c>
      <c r="W2">
        <f t="shared" ref="W2:Y2" si="2">Q2*1</f>
        <v>1</v>
      </c>
      <c r="X2">
        <f t="shared" si="2"/>
        <v>1</v>
      </c>
      <c r="Y2">
        <f t="shared" si="2"/>
        <v>1</v>
      </c>
      <c r="Z2">
        <f>T2*1</f>
        <v>1</v>
      </c>
    </row>
    <row r="3" spans="1:26" x14ac:dyDescent="0.2">
      <c r="A3" s="28">
        <v>-29</v>
      </c>
      <c r="B3" s="28">
        <v>1</v>
      </c>
      <c r="C3" s="28">
        <v>88</v>
      </c>
      <c r="D3" s="28">
        <v>88</v>
      </c>
      <c r="E3" s="28">
        <v>88</v>
      </c>
      <c r="F3" s="28">
        <v>88</v>
      </c>
      <c r="G3" s="28">
        <v>88</v>
      </c>
      <c r="H3" s="28">
        <v>88</v>
      </c>
      <c r="I3">
        <f t="shared" ref="I3:I62" si="3">($C$2-C3)/C3</f>
        <v>0</v>
      </c>
      <c r="J3">
        <f t="shared" ref="J3:J61" si="4">($C$2-D3)/D3</f>
        <v>0</v>
      </c>
      <c r="K3">
        <f t="shared" ref="K3:K62" si="5">($C$2-E3)/E3</f>
        <v>0</v>
      </c>
      <c r="L3">
        <f t="shared" ref="L3:L62" si="6">($C$2-F3)/F3</f>
        <v>0</v>
      </c>
      <c r="M3">
        <f t="shared" ref="M3:M62" si="7">($C$2-G3)/G3</f>
        <v>0</v>
      </c>
      <c r="N3">
        <f t="shared" ref="N3:N62" si="8">($C$2-H3)/H3</f>
        <v>0</v>
      </c>
      <c r="O3">
        <f t="shared" ref="O3:O62" si="9">1-I3</f>
        <v>1</v>
      </c>
      <c r="P3">
        <f t="shared" ref="P3:P62" si="10">1-J3</f>
        <v>1</v>
      </c>
      <c r="Q3">
        <f t="shared" ref="Q3:Q62" si="11">1-K3</f>
        <v>1</v>
      </c>
      <c r="R3">
        <f t="shared" ref="R3:R62" si="12">1-L3</f>
        <v>1</v>
      </c>
      <c r="S3">
        <f t="shared" ref="S3:S62" si="13">1-M3</f>
        <v>1</v>
      </c>
      <c r="T3">
        <f t="shared" ref="T3:T62" si="14">1-N3</f>
        <v>1</v>
      </c>
      <c r="U3">
        <f>O3*U2</f>
        <v>1</v>
      </c>
      <c r="V3">
        <f>P3*V2</f>
        <v>1</v>
      </c>
      <c r="W3">
        <f t="shared" ref="W3:Y4" si="15">Q3*W2</f>
        <v>1</v>
      </c>
      <c r="X3">
        <f t="shared" si="15"/>
        <v>1</v>
      </c>
      <c r="Y3">
        <f t="shared" si="15"/>
        <v>1</v>
      </c>
      <c r="Z3">
        <f>T3*Z2</f>
        <v>1</v>
      </c>
    </row>
    <row r="4" spans="1:26" x14ac:dyDescent="0.2">
      <c r="A4" s="28">
        <v>-28</v>
      </c>
      <c r="B4" s="28">
        <v>2</v>
      </c>
      <c r="C4" s="28">
        <v>88</v>
      </c>
      <c r="D4" s="28">
        <v>88</v>
      </c>
      <c r="E4" s="28">
        <v>88</v>
      </c>
      <c r="F4" s="28">
        <v>88</v>
      </c>
      <c r="G4" s="28">
        <v>88</v>
      </c>
      <c r="H4" s="28">
        <v>88</v>
      </c>
      <c r="I4">
        <f t="shared" si="3"/>
        <v>0</v>
      </c>
      <c r="J4">
        <f t="shared" si="4"/>
        <v>0</v>
      </c>
      <c r="K4">
        <f t="shared" si="5"/>
        <v>0</v>
      </c>
      <c r="L4">
        <f t="shared" si="6"/>
        <v>0</v>
      </c>
      <c r="M4">
        <f t="shared" si="7"/>
        <v>0</v>
      </c>
      <c r="N4">
        <f t="shared" si="8"/>
        <v>0</v>
      </c>
      <c r="O4">
        <f t="shared" si="9"/>
        <v>1</v>
      </c>
      <c r="P4">
        <f t="shared" si="10"/>
        <v>1</v>
      </c>
      <c r="Q4">
        <f t="shared" si="11"/>
        <v>1</v>
      </c>
      <c r="R4">
        <f t="shared" si="12"/>
        <v>1</v>
      </c>
      <c r="S4">
        <f t="shared" si="13"/>
        <v>1</v>
      </c>
      <c r="T4">
        <f t="shared" si="14"/>
        <v>1</v>
      </c>
      <c r="U4">
        <f>O4*U3</f>
        <v>1</v>
      </c>
      <c r="V4">
        <f>P4*V3</f>
        <v>1</v>
      </c>
      <c r="W4">
        <f t="shared" si="15"/>
        <v>1</v>
      </c>
      <c r="X4">
        <f t="shared" si="15"/>
        <v>1</v>
      </c>
      <c r="Y4">
        <f t="shared" si="15"/>
        <v>1</v>
      </c>
      <c r="Z4">
        <f>T4*Z3</f>
        <v>1</v>
      </c>
    </row>
    <row r="5" spans="1:26" x14ac:dyDescent="0.2">
      <c r="A5" s="28">
        <v>-27</v>
      </c>
      <c r="B5" s="28">
        <v>3</v>
      </c>
      <c r="C5" s="28">
        <v>88</v>
      </c>
      <c r="D5" s="28">
        <v>88</v>
      </c>
      <c r="E5" s="28">
        <v>88</v>
      </c>
      <c r="F5" s="28">
        <v>88</v>
      </c>
      <c r="G5" s="28">
        <v>88</v>
      </c>
      <c r="H5" s="28">
        <v>88</v>
      </c>
      <c r="I5">
        <f t="shared" si="3"/>
        <v>0</v>
      </c>
      <c r="J5">
        <f t="shared" si="4"/>
        <v>0</v>
      </c>
      <c r="K5">
        <f t="shared" si="5"/>
        <v>0</v>
      </c>
      <c r="L5">
        <f t="shared" si="6"/>
        <v>0</v>
      </c>
      <c r="M5">
        <f t="shared" si="7"/>
        <v>0</v>
      </c>
      <c r="N5">
        <f t="shared" si="8"/>
        <v>0</v>
      </c>
      <c r="O5">
        <f t="shared" si="9"/>
        <v>1</v>
      </c>
      <c r="P5">
        <f t="shared" si="10"/>
        <v>1</v>
      </c>
      <c r="Q5">
        <f t="shared" si="11"/>
        <v>1</v>
      </c>
      <c r="R5">
        <f t="shared" si="12"/>
        <v>1</v>
      </c>
      <c r="S5">
        <f t="shared" si="13"/>
        <v>1</v>
      </c>
      <c r="T5">
        <f t="shared" si="14"/>
        <v>1</v>
      </c>
      <c r="U5">
        <f t="shared" ref="U5:U62" si="16">O5*U4</f>
        <v>1</v>
      </c>
      <c r="V5">
        <f t="shared" ref="V5:V62" si="17">P5*V4</f>
        <v>1</v>
      </c>
      <c r="W5">
        <f t="shared" ref="W5:W62" si="18">Q5*W4</f>
        <v>1</v>
      </c>
      <c r="X5">
        <f t="shared" ref="X5:X62" si="19">R5*X4</f>
        <v>1</v>
      </c>
      <c r="Y5">
        <f t="shared" ref="Y5:Y62" si="20">S5*Y4</f>
        <v>1</v>
      </c>
      <c r="Z5">
        <f>T5*Z4</f>
        <v>1</v>
      </c>
    </row>
    <row r="6" spans="1:26" x14ac:dyDescent="0.2">
      <c r="A6" s="28">
        <v>-26</v>
      </c>
      <c r="B6" s="28">
        <v>4</v>
      </c>
      <c r="C6" s="28">
        <v>88</v>
      </c>
      <c r="D6" s="28">
        <v>88</v>
      </c>
      <c r="E6" s="28">
        <v>88</v>
      </c>
      <c r="F6" s="28">
        <v>88</v>
      </c>
      <c r="G6" s="28">
        <v>88</v>
      </c>
      <c r="H6" s="28">
        <v>88</v>
      </c>
      <c r="I6">
        <f t="shared" si="3"/>
        <v>0</v>
      </c>
      <c r="J6">
        <f t="shared" si="4"/>
        <v>0</v>
      </c>
      <c r="K6">
        <f t="shared" si="5"/>
        <v>0</v>
      </c>
      <c r="L6">
        <f t="shared" si="6"/>
        <v>0</v>
      </c>
      <c r="M6">
        <f t="shared" si="7"/>
        <v>0</v>
      </c>
      <c r="N6">
        <f t="shared" si="8"/>
        <v>0</v>
      </c>
      <c r="O6">
        <f t="shared" si="9"/>
        <v>1</v>
      </c>
      <c r="P6">
        <f t="shared" si="10"/>
        <v>1</v>
      </c>
      <c r="Q6">
        <f t="shared" si="11"/>
        <v>1</v>
      </c>
      <c r="R6">
        <f t="shared" si="12"/>
        <v>1</v>
      </c>
      <c r="S6">
        <f t="shared" si="13"/>
        <v>1</v>
      </c>
      <c r="T6">
        <f t="shared" si="14"/>
        <v>1</v>
      </c>
      <c r="U6">
        <f t="shared" si="16"/>
        <v>1</v>
      </c>
      <c r="V6">
        <f t="shared" si="17"/>
        <v>1</v>
      </c>
      <c r="W6">
        <f t="shared" si="18"/>
        <v>1</v>
      </c>
      <c r="X6">
        <f t="shared" si="19"/>
        <v>1</v>
      </c>
      <c r="Y6">
        <f t="shared" si="20"/>
        <v>1</v>
      </c>
      <c r="Z6">
        <f>T6*Z5</f>
        <v>1</v>
      </c>
    </row>
    <row r="7" spans="1:26" x14ac:dyDescent="0.2">
      <c r="A7" s="28">
        <v>-25</v>
      </c>
      <c r="B7" s="28">
        <v>5</v>
      </c>
      <c r="C7" s="28">
        <v>88</v>
      </c>
      <c r="D7" s="28">
        <v>88</v>
      </c>
      <c r="E7" s="28">
        <v>88</v>
      </c>
      <c r="F7" s="28">
        <v>88</v>
      </c>
      <c r="G7" s="28">
        <v>88</v>
      </c>
      <c r="H7" s="28">
        <v>88</v>
      </c>
      <c r="I7">
        <f t="shared" si="3"/>
        <v>0</v>
      </c>
      <c r="J7">
        <f t="shared" si="4"/>
        <v>0</v>
      </c>
      <c r="K7">
        <f t="shared" si="5"/>
        <v>0</v>
      </c>
      <c r="L7">
        <f t="shared" si="6"/>
        <v>0</v>
      </c>
      <c r="M7">
        <f t="shared" si="7"/>
        <v>0</v>
      </c>
      <c r="N7">
        <f t="shared" si="8"/>
        <v>0</v>
      </c>
      <c r="O7">
        <f t="shared" si="9"/>
        <v>1</v>
      </c>
      <c r="P7">
        <f t="shared" si="10"/>
        <v>1</v>
      </c>
      <c r="Q7">
        <f t="shared" si="11"/>
        <v>1</v>
      </c>
      <c r="R7">
        <f t="shared" si="12"/>
        <v>1</v>
      </c>
      <c r="S7">
        <f t="shared" si="13"/>
        <v>1</v>
      </c>
      <c r="T7">
        <f t="shared" si="14"/>
        <v>1</v>
      </c>
      <c r="U7">
        <f t="shared" si="16"/>
        <v>1</v>
      </c>
      <c r="V7">
        <f t="shared" si="17"/>
        <v>1</v>
      </c>
      <c r="W7">
        <f t="shared" si="18"/>
        <v>1</v>
      </c>
      <c r="X7">
        <f t="shared" si="19"/>
        <v>1</v>
      </c>
      <c r="Y7">
        <f t="shared" si="20"/>
        <v>1</v>
      </c>
      <c r="Z7">
        <f>T7*Z6</f>
        <v>1</v>
      </c>
    </row>
    <row r="8" spans="1:26" x14ac:dyDescent="0.2">
      <c r="A8" s="28">
        <v>-24</v>
      </c>
      <c r="B8" s="28">
        <v>6</v>
      </c>
      <c r="C8" s="28">
        <v>88</v>
      </c>
      <c r="D8" s="28">
        <v>88</v>
      </c>
      <c r="E8" s="28">
        <v>88</v>
      </c>
      <c r="F8" s="28">
        <v>88</v>
      </c>
      <c r="G8" s="28">
        <v>88</v>
      </c>
      <c r="H8" s="28">
        <v>88</v>
      </c>
      <c r="I8">
        <f t="shared" si="3"/>
        <v>0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1</v>
      </c>
      <c r="P8">
        <f t="shared" si="10"/>
        <v>1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U8">
        <f t="shared" si="16"/>
        <v>1</v>
      </c>
      <c r="V8">
        <f t="shared" si="17"/>
        <v>1</v>
      </c>
      <c r="W8">
        <f t="shared" si="18"/>
        <v>1</v>
      </c>
      <c r="X8">
        <f t="shared" si="19"/>
        <v>1</v>
      </c>
      <c r="Y8">
        <f t="shared" si="20"/>
        <v>1</v>
      </c>
      <c r="Z8">
        <f>T8*Z7</f>
        <v>1</v>
      </c>
    </row>
    <row r="9" spans="1:26" x14ac:dyDescent="0.2">
      <c r="A9" s="28">
        <v>-23</v>
      </c>
      <c r="B9" s="28">
        <v>7</v>
      </c>
      <c r="C9" s="28">
        <v>88</v>
      </c>
      <c r="D9" s="28">
        <v>88</v>
      </c>
      <c r="E9" s="28">
        <v>88</v>
      </c>
      <c r="F9" s="28">
        <v>88</v>
      </c>
      <c r="G9" s="28">
        <v>88</v>
      </c>
      <c r="H9" s="28">
        <v>88</v>
      </c>
      <c r="I9">
        <f t="shared" si="3"/>
        <v>0</v>
      </c>
      <c r="J9">
        <f t="shared" si="4"/>
        <v>0</v>
      </c>
      <c r="K9">
        <f t="shared" si="5"/>
        <v>0</v>
      </c>
      <c r="L9">
        <f t="shared" si="6"/>
        <v>0</v>
      </c>
      <c r="M9">
        <f t="shared" si="7"/>
        <v>0</v>
      </c>
      <c r="N9">
        <f t="shared" si="8"/>
        <v>0</v>
      </c>
      <c r="O9">
        <f t="shared" si="9"/>
        <v>1</v>
      </c>
      <c r="P9">
        <f t="shared" si="10"/>
        <v>1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U9">
        <f t="shared" si="16"/>
        <v>1</v>
      </c>
      <c r="V9">
        <f t="shared" si="17"/>
        <v>1</v>
      </c>
      <c r="W9">
        <f t="shared" si="18"/>
        <v>1</v>
      </c>
      <c r="X9">
        <f t="shared" si="19"/>
        <v>1</v>
      </c>
      <c r="Y9">
        <f t="shared" si="20"/>
        <v>1</v>
      </c>
      <c r="Z9">
        <f>T9*Z8</f>
        <v>1</v>
      </c>
    </row>
    <row r="10" spans="1:26" x14ac:dyDescent="0.2">
      <c r="A10" s="28">
        <v>-22</v>
      </c>
      <c r="B10" s="28">
        <v>8</v>
      </c>
      <c r="C10" s="28">
        <v>88</v>
      </c>
      <c r="D10" s="28">
        <v>88</v>
      </c>
      <c r="E10" s="28">
        <v>88</v>
      </c>
      <c r="F10" s="28">
        <v>88</v>
      </c>
      <c r="G10" s="28">
        <v>88</v>
      </c>
      <c r="H10" s="28">
        <v>88</v>
      </c>
      <c r="I10">
        <f t="shared" si="3"/>
        <v>0</v>
      </c>
      <c r="J10">
        <f t="shared" si="4"/>
        <v>0</v>
      </c>
      <c r="K10">
        <f t="shared" si="5"/>
        <v>0</v>
      </c>
      <c r="L10">
        <f t="shared" si="6"/>
        <v>0</v>
      </c>
      <c r="M10">
        <f t="shared" si="7"/>
        <v>0</v>
      </c>
      <c r="N10">
        <f t="shared" si="8"/>
        <v>0</v>
      </c>
      <c r="O10">
        <f t="shared" si="9"/>
        <v>1</v>
      </c>
      <c r="P10">
        <f t="shared" si="10"/>
        <v>1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U10">
        <f t="shared" si="16"/>
        <v>1</v>
      </c>
      <c r="V10">
        <f t="shared" si="17"/>
        <v>1</v>
      </c>
      <c r="W10">
        <f t="shared" si="18"/>
        <v>1</v>
      </c>
      <c r="X10">
        <f t="shared" si="19"/>
        <v>1</v>
      </c>
      <c r="Y10">
        <f t="shared" si="20"/>
        <v>1</v>
      </c>
      <c r="Z10">
        <f>T10*Z9</f>
        <v>1</v>
      </c>
    </row>
    <row r="11" spans="1:26" x14ac:dyDescent="0.2">
      <c r="A11" s="28">
        <v>-21</v>
      </c>
      <c r="B11" s="28">
        <v>9</v>
      </c>
      <c r="C11" s="28">
        <v>88</v>
      </c>
      <c r="D11" s="28">
        <v>88</v>
      </c>
      <c r="E11" s="28">
        <v>88</v>
      </c>
      <c r="F11" s="28">
        <v>88</v>
      </c>
      <c r="G11" s="28">
        <v>88</v>
      </c>
      <c r="H11" s="28">
        <v>88</v>
      </c>
      <c r="I11">
        <f t="shared" si="3"/>
        <v>0</v>
      </c>
      <c r="J11">
        <f t="shared" si="4"/>
        <v>0</v>
      </c>
      <c r="K11">
        <f t="shared" si="5"/>
        <v>0</v>
      </c>
      <c r="L11">
        <f t="shared" si="6"/>
        <v>0</v>
      </c>
      <c r="M11">
        <f t="shared" si="7"/>
        <v>0</v>
      </c>
      <c r="N11">
        <f t="shared" si="8"/>
        <v>0</v>
      </c>
      <c r="O11">
        <f t="shared" si="9"/>
        <v>1</v>
      </c>
      <c r="P11">
        <f t="shared" si="10"/>
        <v>1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U11">
        <f t="shared" si="16"/>
        <v>1</v>
      </c>
      <c r="V11">
        <f t="shared" si="17"/>
        <v>1</v>
      </c>
      <c r="W11">
        <f t="shared" si="18"/>
        <v>1</v>
      </c>
      <c r="X11">
        <f t="shared" si="19"/>
        <v>1</v>
      </c>
      <c r="Y11">
        <f t="shared" si="20"/>
        <v>1</v>
      </c>
      <c r="Z11">
        <f>T11*Z10</f>
        <v>1</v>
      </c>
    </row>
    <row r="12" spans="1:26" x14ac:dyDescent="0.2">
      <c r="A12" s="28">
        <v>-20</v>
      </c>
      <c r="B12" s="28">
        <v>10</v>
      </c>
      <c r="C12" s="28">
        <v>88</v>
      </c>
      <c r="D12" s="28">
        <v>88</v>
      </c>
      <c r="E12" s="28">
        <v>88</v>
      </c>
      <c r="F12" s="28">
        <v>88</v>
      </c>
      <c r="G12" s="28">
        <v>86</v>
      </c>
      <c r="H12" s="28">
        <v>88</v>
      </c>
      <c r="I12">
        <f t="shared" si="3"/>
        <v>0</v>
      </c>
      <c r="J12">
        <f t="shared" si="4"/>
        <v>0</v>
      </c>
      <c r="K12">
        <f t="shared" si="5"/>
        <v>0</v>
      </c>
      <c r="L12">
        <f t="shared" si="6"/>
        <v>0</v>
      </c>
      <c r="M12">
        <f t="shared" si="7"/>
        <v>2.3255813953488372E-2</v>
      </c>
      <c r="N12">
        <f t="shared" si="8"/>
        <v>0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0.97674418604651159</v>
      </c>
      <c r="T12">
        <f t="shared" si="14"/>
        <v>1</v>
      </c>
      <c r="U12">
        <f t="shared" si="16"/>
        <v>1</v>
      </c>
      <c r="V12">
        <f t="shared" si="17"/>
        <v>1</v>
      </c>
      <c r="W12">
        <f t="shared" si="18"/>
        <v>1</v>
      </c>
      <c r="X12">
        <f t="shared" si="19"/>
        <v>1</v>
      </c>
      <c r="Y12">
        <f t="shared" si="20"/>
        <v>0.97674418604651159</v>
      </c>
      <c r="Z12">
        <f>T12*Z11</f>
        <v>1</v>
      </c>
    </row>
    <row r="13" spans="1:26" x14ac:dyDescent="0.2">
      <c r="A13" s="28">
        <v>-19</v>
      </c>
      <c r="B13" s="28">
        <v>11</v>
      </c>
      <c r="C13" s="28">
        <v>88</v>
      </c>
      <c r="D13" s="28">
        <v>88</v>
      </c>
      <c r="E13" s="28">
        <v>88</v>
      </c>
      <c r="F13" s="28">
        <v>85</v>
      </c>
      <c r="G13" s="28">
        <v>86</v>
      </c>
      <c r="H13" s="28">
        <v>88</v>
      </c>
      <c r="I13">
        <f t="shared" si="3"/>
        <v>0</v>
      </c>
      <c r="J13">
        <f t="shared" si="4"/>
        <v>0</v>
      </c>
      <c r="K13">
        <f t="shared" si="5"/>
        <v>0</v>
      </c>
      <c r="L13">
        <f t="shared" si="6"/>
        <v>3.5294117647058823E-2</v>
      </c>
      <c r="M13">
        <f t="shared" si="7"/>
        <v>2.3255813953488372E-2</v>
      </c>
      <c r="N13">
        <f t="shared" si="8"/>
        <v>0</v>
      </c>
      <c r="O13">
        <f t="shared" si="9"/>
        <v>1</v>
      </c>
      <c r="P13">
        <f t="shared" si="10"/>
        <v>1</v>
      </c>
      <c r="Q13">
        <f t="shared" si="11"/>
        <v>1</v>
      </c>
      <c r="R13">
        <f t="shared" si="12"/>
        <v>0.96470588235294119</v>
      </c>
      <c r="S13">
        <f t="shared" si="13"/>
        <v>0.97674418604651159</v>
      </c>
      <c r="T13">
        <f t="shared" si="14"/>
        <v>1</v>
      </c>
      <c r="U13">
        <f t="shared" si="16"/>
        <v>1</v>
      </c>
      <c r="V13">
        <f t="shared" si="17"/>
        <v>1</v>
      </c>
      <c r="W13">
        <f t="shared" si="18"/>
        <v>1</v>
      </c>
      <c r="X13">
        <f t="shared" si="19"/>
        <v>0.96470588235294119</v>
      </c>
      <c r="Y13">
        <f t="shared" si="20"/>
        <v>0.95402920497566246</v>
      </c>
      <c r="Z13">
        <f>T13*Z12</f>
        <v>1</v>
      </c>
    </row>
    <row r="14" spans="1:26" x14ac:dyDescent="0.2">
      <c r="A14" s="28">
        <v>-18</v>
      </c>
      <c r="B14" s="28">
        <v>12</v>
      </c>
      <c r="C14" s="28">
        <v>88</v>
      </c>
      <c r="D14" s="28">
        <v>88</v>
      </c>
      <c r="E14" s="28">
        <v>88</v>
      </c>
      <c r="F14" s="28">
        <v>85</v>
      </c>
      <c r="G14" s="28">
        <v>86</v>
      </c>
      <c r="H14" s="28">
        <v>88</v>
      </c>
      <c r="I14">
        <f t="shared" si="3"/>
        <v>0</v>
      </c>
      <c r="J14">
        <f t="shared" si="4"/>
        <v>0</v>
      </c>
      <c r="K14">
        <f t="shared" si="5"/>
        <v>0</v>
      </c>
      <c r="L14">
        <f t="shared" si="6"/>
        <v>3.5294117647058823E-2</v>
      </c>
      <c r="M14">
        <f t="shared" si="7"/>
        <v>2.3255813953488372E-2</v>
      </c>
      <c r="N14">
        <f t="shared" si="8"/>
        <v>0</v>
      </c>
      <c r="O14">
        <f t="shared" si="9"/>
        <v>1</v>
      </c>
      <c r="P14">
        <f t="shared" si="10"/>
        <v>1</v>
      </c>
      <c r="Q14">
        <f t="shared" si="11"/>
        <v>1</v>
      </c>
      <c r="R14">
        <f t="shared" si="12"/>
        <v>0.96470588235294119</v>
      </c>
      <c r="S14">
        <f t="shared" si="13"/>
        <v>0.97674418604651159</v>
      </c>
      <c r="T14">
        <f t="shared" si="14"/>
        <v>1</v>
      </c>
      <c r="U14">
        <f t="shared" si="16"/>
        <v>1</v>
      </c>
      <c r="V14">
        <f t="shared" si="17"/>
        <v>1</v>
      </c>
      <c r="W14">
        <f t="shared" si="18"/>
        <v>1</v>
      </c>
      <c r="X14">
        <f t="shared" si="19"/>
        <v>0.93065743944636681</v>
      </c>
      <c r="Y14">
        <f t="shared" si="20"/>
        <v>0.93184247927855401</v>
      </c>
      <c r="Z14">
        <f>T14*Z13</f>
        <v>1</v>
      </c>
    </row>
    <row r="15" spans="1:26" x14ac:dyDescent="0.2">
      <c r="A15" s="28">
        <v>-17</v>
      </c>
      <c r="B15" s="28">
        <v>13</v>
      </c>
      <c r="C15" s="28">
        <v>88</v>
      </c>
      <c r="D15" s="28">
        <v>88</v>
      </c>
      <c r="E15" s="28">
        <v>88</v>
      </c>
      <c r="F15" s="28">
        <v>85</v>
      </c>
      <c r="G15" s="28">
        <v>86</v>
      </c>
      <c r="H15" s="28">
        <v>88</v>
      </c>
      <c r="I15">
        <f t="shared" si="3"/>
        <v>0</v>
      </c>
      <c r="J15">
        <f t="shared" si="4"/>
        <v>0</v>
      </c>
      <c r="K15">
        <f t="shared" si="5"/>
        <v>0</v>
      </c>
      <c r="L15">
        <f t="shared" si="6"/>
        <v>3.5294117647058823E-2</v>
      </c>
      <c r="M15">
        <f t="shared" si="7"/>
        <v>2.3255813953488372E-2</v>
      </c>
      <c r="N15">
        <f t="shared" si="8"/>
        <v>0</v>
      </c>
      <c r="O15">
        <f t="shared" si="9"/>
        <v>1</v>
      </c>
      <c r="P15">
        <f t="shared" si="10"/>
        <v>1</v>
      </c>
      <c r="Q15">
        <f t="shared" si="11"/>
        <v>1</v>
      </c>
      <c r="R15">
        <f t="shared" si="12"/>
        <v>0.96470588235294119</v>
      </c>
      <c r="S15">
        <f t="shared" si="13"/>
        <v>0.97674418604651159</v>
      </c>
      <c r="T15">
        <f t="shared" si="14"/>
        <v>1</v>
      </c>
      <c r="U15">
        <f t="shared" si="16"/>
        <v>1</v>
      </c>
      <c r="V15">
        <f t="shared" si="17"/>
        <v>1</v>
      </c>
      <c r="W15">
        <f t="shared" si="18"/>
        <v>1</v>
      </c>
      <c r="X15">
        <f t="shared" si="19"/>
        <v>0.89781070628943627</v>
      </c>
      <c r="Y15">
        <f t="shared" si="20"/>
        <v>0.91017172394649459</v>
      </c>
      <c r="Z15">
        <f>T15*Z14</f>
        <v>1</v>
      </c>
    </row>
    <row r="16" spans="1:26" x14ac:dyDescent="0.2">
      <c r="A16" s="28">
        <v>-16</v>
      </c>
      <c r="B16" s="28">
        <v>14</v>
      </c>
      <c r="C16" s="28">
        <v>88</v>
      </c>
      <c r="D16" s="28">
        <v>88</v>
      </c>
      <c r="E16" s="28">
        <v>88</v>
      </c>
      <c r="F16" s="28">
        <v>85</v>
      </c>
      <c r="G16" s="28">
        <v>86</v>
      </c>
      <c r="H16" s="28">
        <v>88</v>
      </c>
      <c r="I16">
        <f t="shared" si="3"/>
        <v>0</v>
      </c>
      <c r="J16">
        <f t="shared" si="4"/>
        <v>0</v>
      </c>
      <c r="K16">
        <f t="shared" si="5"/>
        <v>0</v>
      </c>
      <c r="L16">
        <f t="shared" si="6"/>
        <v>3.5294117647058823E-2</v>
      </c>
      <c r="M16">
        <f t="shared" si="7"/>
        <v>2.3255813953488372E-2</v>
      </c>
      <c r="N16">
        <f t="shared" si="8"/>
        <v>0</v>
      </c>
      <c r="O16">
        <f t="shared" si="9"/>
        <v>1</v>
      </c>
      <c r="P16">
        <f t="shared" si="10"/>
        <v>1</v>
      </c>
      <c r="Q16">
        <f t="shared" si="11"/>
        <v>1</v>
      </c>
      <c r="R16">
        <f t="shared" si="12"/>
        <v>0.96470588235294119</v>
      </c>
      <c r="S16">
        <f t="shared" si="13"/>
        <v>0.97674418604651159</v>
      </c>
      <c r="T16">
        <f t="shared" si="14"/>
        <v>1</v>
      </c>
      <c r="U16">
        <f t="shared" si="16"/>
        <v>1</v>
      </c>
      <c r="V16">
        <f t="shared" si="17"/>
        <v>1</v>
      </c>
      <c r="W16">
        <f t="shared" si="18"/>
        <v>1</v>
      </c>
      <c r="X16">
        <f t="shared" si="19"/>
        <v>0.86612326959686792</v>
      </c>
      <c r="Y16">
        <f t="shared" si="20"/>
        <v>0.88900493966866911</v>
      </c>
      <c r="Z16">
        <f>T16*Z15</f>
        <v>1</v>
      </c>
    </row>
    <row r="17" spans="1:26" x14ac:dyDescent="0.2">
      <c r="A17" s="28">
        <v>-15</v>
      </c>
      <c r="B17" s="28">
        <v>15</v>
      </c>
      <c r="C17" s="28">
        <v>88</v>
      </c>
      <c r="D17" s="28">
        <v>88</v>
      </c>
      <c r="E17" s="28">
        <v>88</v>
      </c>
      <c r="F17" s="28">
        <v>85</v>
      </c>
      <c r="G17" s="28">
        <v>86</v>
      </c>
      <c r="H17" s="28">
        <v>88</v>
      </c>
      <c r="I17">
        <f t="shared" si="3"/>
        <v>0</v>
      </c>
      <c r="J17">
        <f t="shared" si="4"/>
        <v>0</v>
      </c>
      <c r="K17">
        <f t="shared" si="5"/>
        <v>0</v>
      </c>
      <c r="L17">
        <f t="shared" si="6"/>
        <v>3.5294117647058823E-2</v>
      </c>
      <c r="M17">
        <f t="shared" si="7"/>
        <v>2.3255813953488372E-2</v>
      </c>
      <c r="N17">
        <f t="shared" si="8"/>
        <v>0</v>
      </c>
      <c r="O17">
        <f t="shared" si="9"/>
        <v>1</v>
      </c>
      <c r="P17">
        <f t="shared" si="10"/>
        <v>1</v>
      </c>
      <c r="Q17">
        <f t="shared" si="11"/>
        <v>1</v>
      </c>
      <c r="R17">
        <f t="shared" si="12"/>
        <v>0.96470588235294119</v>
      </c>
      <c r="S17">
        <f t="shared" si="13"/>
        <v>0.97674418604651159</v>
      </c>
      <c r="T17">
        <f t="shared" si="14"/>
        <v>1</v>
      </c>
      <c r="U17">
        <f t="shared" si="16"/>
        <v>1</v>
      </c>
      <c r="V17">
        <f t="shared" si="17"/>
        <v>1</v>
      </c>
      <c r="W17">
        <f t="shared" si="18"/>
        <v>1</v>
      </c>
      <c r="X17">
        <f t="shared" si="19"/>
        <v>0.83555421302286081</v>
      </c>
      <c r="Y17">
        <f t="shared" si="20"/>
        <v>0.86833040618800239</v>
      </c>
      <c r="Z17">
        <f>T17*Z16</f>
        <v>1</v>
      </c>
    </row>
    <row r="18" spans="1:26" x14ac:dyDescent="0.2">
      <c r="A18" s="28">
        <v>-14</v>
      </c>
      <c r="B18" s="28">
        <v>16</v>
      </c>
      <c r="C18" s="28">
        <v>88</v>
      </c>
      <c r="D18" s="28">
        <v>88</v>
      </c>
      <c r="E18" s="28">
        <v>88</v>
      </c>
      <c r="F18" s="28">
        <v>85</v>
      </c>
      <c r="G18" s="28">
        <v>86</v>
      </c>
      <c r="H18" s="28">
        <v>88</v>
      </c>
      <c r="I18">
        <f t="shared" si="3"/>
        <v>0</v>
      </c>
      <c r="J18">
        <f t="shared" si="4"/>
        <v>0</v>
      </c>
      <c r="K18">
        <f t="shared" si="5"/>
        <v>0</v>
      </c>
      <c r="L18">
        <f t="shared" si="6"/>
        <v>3.5294117647058823E-2</v>
      </c>
      <c r="M18">
        <f t="shared" si="7"/>
        <v>2.3255813953488372E-2</v>
      </c>
      <c r="N18">
        <f t="shared" si="8"/>
        <v>0</v>
      </c>
      <c r="O18">
        <f t="shared" si="9"/>
        <v>1</v>
      </c>
      <c r="P18">
        <f t="shared" si="10"/>
        <v>1</v>
      </c>
      <c r="Q18">
        <f t="shared" si="11"/>
        <v>1</v>
      </c>
      <c r="R18">
        <f t="shared" si="12"/>
        <v>0.96470588235294119</v>
      </c>
      <c r="S18">
        <f t="shared" si="13"/>
        <v>0.97674418604651159</v>
      </c>
      <c r="T18">
        <f t="shared" si="14"/>
        <v>1</v>
      </c>
      <c r="U18">
        <f t="shared" si="16"/>
        <v>1</v>
      </c>
      <c r="V18">
        <f t="shared" si="17"/>
        <v>1</v>
      </c>
      <c r="W18">
        <f t="shared" si="18"/>
        <v>1</v>
      </c>
      <c r="X18">
        <f t="shared" si="19"/>
        <v>0.80606406432793631</v>
      </c>
      <c r="Y18">
        <f t="shared" si="20"/>
        <v>0.84813667581153718</v>
      </c>
      <c r="Z18">
        <f>T18*Z17</f>
        <v>1</v>
      </c>
    </row>
    <row r="19" spans="1:26" x14ac:dyDescent="0.2">
      <c r="A19" s="28">
        <v>-13</v>
      </c>
      <c r="B19" s="28">
        <v>17</v>
      </c>
      <c r="C19" s="28">
        <v>88</v>
      </c>
      <c r="D19" s="28">
        <v>88</v>
      </c>
      <c r="E19" s="28">
        <v>88</v>
      </c>
      <c r="F19" s="28">
        <v>85</v>
      </c>
      <c r="G19" s="28">
        <v>86</v>
      </c>
      <c r="H19" s="28">
        <v>88</v>
      </c>
      <c r="I19">
        <f t="shared" si="3"/>
        <v>0</v>
      </c>
      <c r="J19">
        <f t="shared" si="4"/>
        <v>0</v>
      </c>
      <c r="K19">
        <f t="shared" si="5"/>
        <v>0</v>
      </c>
      <c r="L19">
        <f t="shared" si="6"/>
        <v>3.5294117647058823E-2</v>
      </c>
      <c r="M19">
        <f t="shared" si="7"/>
        <v>2.3255813953488372E-2</v>
      </c>
      <c r="N19">
        <f t="shared" si="8"/>
        <v>0</v>
      </c>
      <c r="O19">
        <f t="shared" si="9"/>
        <v>1</v>
      </c>
      <c r="P19">
        <f t="shared" si="10"/>
        <v>1</v>
      </c>
      <c r="Q19">
        <f t="shared" si="11"/>
        <v>1</v>
      </c>
      <c r="R19">
        <f t="shared" si="12"/>
        <v>0.96470588235294119</v>
      </c>
      <c r="S19">
        <f t="shared" si="13"/>
        <v>0.97674418604651159</v>
      </c>
      <c r="T19">
        <f t="shared" si="14"/>
        <v>1</v>
      </c>
      <c r="U19">
        <f t="shared" si="16"/>
        <v>1</v>
      </c>
      <c r="V19">
        <f t="shared" si="17"/>
        <v>1</v>
      </c>
      <c r="W19">
        <f t="shared" si="18"/>
        <v>1</v>
      </c>
      <c r="X19">
        <f t="shared" si="19"/>
        <v>0.77761474441047973</v>
      </c>
      <c r="Y19">
        <f t="shared" si="20"/>
        <v>0.82841256707173394</v>
      </c>
      <c r="Z19">
        <f>T19*Z18</f>
        <v>1</v>
      </c>
    </row>
    <row r="20" spans="1:26" x14ac:dyDescent="0.2">
      <c r="A20" s="28">
        <v>-12</v>
      </c>
      <c r="B20" s="28">
        <v>18</v>
      </c>
      <c r="C20" s="28">
        <v>88</v>
      </c>
      <c r="D20" s="28">
        <v>88</v>
      </c>
      <c r="E20" s="28">
        <v>88</v>
      </c>
      <c r="F20" s="28">
        <v>85</v>
      </c>
      <c r="G20" s="28">
        <v>86</v>
      </c>
      <c r="H20" s="28">
        <v>88</v>
      </c>
      <c r="I20">
        <f t="shared" si="3"/>
        <v>0</v>
      </c>
      <c r="J20">
        <f t="shared" si="4"/>
        <v>0</v>
      </c>
      <c r="K20">
        <f t="shared" si="5"/>
        <v>0</v>
      </c>
      <c r="L20">
        <f t="shared" si="6"/>
        <v>3.5294117647058823E-2</v>
      </c>
      <c r="M20">
        <f t="shared" si="7"/>
        <v>2.3255813953488372E-2</v>
      </c>
      <c r="N20">
        <f t="shared" si="8"/>
        <v>0</v>
      </c>
      <c r="O20">
        <f t="shared" si="9"/>
        <v>1</v>
      </c>
      <c r="P20">
        <f t="shared" si="10"/>
        <v>1</v>
      </c>
      <c r="Q20">
        <f t="shared" si="11"/>
        <v>1</v>
      </c>
      <c r="R20">
        <f t="shared" si="12"/>
        <v>0.96470588235294119</v>
      </c>
      <c r="S20">
        <f t="shared" si="13"/>
        <v>0.97674418604651159</v>
      </c>
      <c r="T20">
        <f t="shared" si="14"/>
        <v>1</v>
      </c>
      <c r="U20">
        <f t="shared" si="16"/>
        <v>1</v>
      </c>
      <c r="V20">
        <f t="shared" si="17"/>
        <v>1</v>
      </c>
      <c r="W20">
        <f t="shared" si="18"/>
        <v>1</v>
      </c>
      <c r="X20">
        <f t="shared" si="19"/>
        <v>0.7501695181371687</v>
      </c>
      <c r="Y20">
        <f t="shared" si="20"/>
        <v>0.80914715853518193</v>
      </c>
      <c r="Z20">
        <f>T20*Z19</f>
        <v>1</v>
      </c>
    </row>
    <row r="21" spans="1:26" x14ac:dyDescent="0.2">
      <c r="A21" s="28">
        <v>-11</v>
      </c>
      <c r="B21" s="28">
        <v>19</v>
      </c>
      <c r="C21" s="28">
        <v>88</v>
      </c>
      <c r="D21" s="28">
        <v>88</v>
      </c>
      <c r="E21" s="28">
        <v>88</v>
      </c>
      <c r="F21" s="28">
        <v>85</v>
      </c>
      <c r="G21" s="28">
        <v>86</v>
      </c>
      <c r="H21" s="28">
        <v>88</v>
      </c>
      <c r="I21">
        <f t="shared" si="3"/>
        <v>0</v>
      </c>
      <c r="J21">
        <f t="shared" si="4"/>
        <v>0</v>
      </c>
      <c r="K21">
        <f t="shared" si="5"/>
        <v>0</v>
      </c>
      <c r="L21">
        <f t="shared" si="6"/>
        <v>3.5294117647058823E-2</v>
      </c>
      <c r="M21">
        <f t="shared" si="7"/>
        <v>2.3255813953488372E-2</v>
      </c>
      <c r="N21">
        <f t="shared" si="8"/>
        <v>0</v>
      </c>
      <c r="O21">
        <f t="shared" si="9"/>
        <v>1</v>
      </c>
      <c r="P21">
        <f t="shared" si="10"/>
        <v>1</v>
      </c>
      <c r="Q21">
        <f t="shared" si="11"/>
        <v>1</v>
      </c>
      <c r="R21">
        <f t="shared" si="12"/>
        <v>0.96470588235294119</v>
      </c>
      <c r="S21">
        <f t="shared" si="13"/>
        <v>0.97674418604651159</v>
      </c>
      <c r="T21">
        <f t="shared" si="14"/>
        <v>1</v>
      </c>
      <c r="U21">
        <f t="shared" si="16"/>
        <v>1</v>
      </c>
      <c r="V21">
        <f t="shared" si="17"/>
        <v>1</v>
      </c>
      <c r="W21">
        <f t="shared" si="18"/>
        <v>1</v>
      </c>
      <c r="X21">
        <f t="shared" si="19"/>
        <v>0.72369294690879804</v>
      </c>
      <c r="Y21">
        <f t="shared" si="20"/>
        <v>0.79032978275529397</v>
      </c>
      <c r="Z21">
        <f>T21*Z20</f>
        <v>1</v>
      </c>
    </row>
    <row r="22" spans="1:26" x14ac:dyDescent="0.2">
      <c r="A22" s="28">
        <v>-10</v>
      </c>
      <c r="B22" s="28">
        <v>20</v>
      </c>
      <c r="C22" s="28">
        <v>88</v>
      </c>
      <c r="D22" s="28">
        <v>88</v>
      </c>
      <c r="E22" s="28">
        <v>88</v>
      </c>
      <c r="F22" s="28">
        <v>82</v>
      </c>
      <c r="G22" s="28">
        <v>86</v>
      </c>
      <c r="H22" s="28">
        <v>88</v>
      </c>
      <c r="I22">
        <f t="shared" si="3"/>
        <v>0</v>
      </c>
      <c r="J22">
        <f t="shared" si="4"/>
        <v>0</v>
      </c>
      <c r="K22">
        <f t="shared" si="5"/>
        <v>0</v>
      </c>
      <c r="L22">
        <f t="shared" si="6"/>
        <v>7.3170731707317069E-2</v>
      </c>
      <c r="M22">
        <f t="shared" si="7"/>
        <v>2.3255813953488372E-2</v>
      </c>
      <c r="N22">
        <f t="shared" si="8"/>
        <v>0</v>
      </c>
      <c r="O22">
        <f t="shared" si="9"/>
        <v>1</v>
      </c>
      <c r="P22">
        <f t="shared" si="10"/>
        <v>1</v>
      </c>
      <c r="Q22">
        <f t="shared" si="11"/>
        <v>1</v>
      </c>
      <c r="R22">
        <f t="shared" si="12"/>
        <v>0.92682926829268297</v>
      </c>
      <c r="S22">
        <f t="shared" si="13"/>
        <v>0.97674418604651159</v>
      </c>
      <c r="T22">
        <f t="shared" si="14"/>
        <v>1</v>
      </c>
      <c r="U22">
        <f t="shared" si="16"/>
        <v>1</v>
      </c>
      <c r="V22">
        <f t="shared" si="17"/>
        <v>1</v>
      </c>
      <c r="W22">
        <f t="shared" si="18"/>
        <v>1</v>
      </c>
      <c r="X22">
        <f t="shared" si="19"/>
        <v>0.67073980445205672</v>
      </c>
      <c r="Y22">
        <f t="shared" si="20"/>
        <v>0.77195002036563598</v>
      </c>
      <c r="Z22">
        <f>T22*Z21</f>
        <v>1</v>
      </c>
    </row>
    <row r="23" spans="1:26" x14ac:dyDescent="0.2">
      <c r="A23" s="28">
        <v>-9</v>
      </c>
      <c r="B23" s="28">
        <v>21</v>
      </c>
      <c r="C23" s="28">
        <v>88</v>
      </c>
      <c r="D23" s="28">
        <v>88</v>
      </c>
      <c r="E23" s="28">
        <v>88</v>
      </c>
      <c r="F23" s="28">
        <v>82</v>
      </c>
      <c r="G23" s="28">
        <v>86</v>
      </c>
      <c r="H23" s="28">
        <v>88</v>
      </c>
      <c r="I23">
        <f t="shared" si="3"/>
        <v>0</v>
      </c>
      <c r="J23">
        <f t="shared" si="4"/>
        <v>0</v>
      </c>
      <c r="K23">
        <f t="shared" si="5"/>
        <v>0</v>
      </c>
      <c r="L23">
        <f t="shared" si="6"/>
        <v>7.3170731707317069E-2</v>
      </c>
      <c r="M23">
        <f t="shared" si="7"/>
        <v>2.3255813953488372E-2</v>
      </c>
      <c r="N23">
        <f t="shared" si="8"/>
        <v>0</v>
      </c>
      <c r="O23">
        <f t="shared" si="9"/>
        <v>1</v>
      </c>
      <c r="P23">
        <f t="shared" si="10"/>
        <v>1</v>
      </c>
      <c r="Q23">
        <f t="shared" si="11"/>
        <v>1</v>
      </c>
      <c r="R23">
        <f t="shared" si="12"/>
        <v>0.92682926829268297</v>
      </c>
      <c r="S23">
        <f t="shared" si="13"/>
        <v>0.97674418604651159</v>
      </c>
      <c r="T23">
        <f t="shared" si="14"/>
        <v>1</v>
      </c>
      <c r="U23">
        <f t="shared" si="16"/>
        <v>1</v>
      </c>
      <c r="V23">
        <f t="shared" si="17"/>
        <v>1</v>
      </c>
      <c r="W23">
        <f t="shared" si="18"/>
        <v>1</v>
      </c>
      <c r="X23">
        <f t="shared" si="19"/>
        <v>0.62166128217507699</v>
      </c>
      <c r="Y23">
        <f t="shared" si="20"/>
        <v>0.75399769431062114</v>
      </c>
      <c r="Z23">
        <f>T23*Z22</f>
        <v>1</v>
      </c>
    </row>
    <row r="24" spans="1:26" x14ac:dyDescent="0.2">
      <c r="A24" s="28">
        <v>-8</v>
      </c>
      <c r="B24" s="28">
        <v>22</v>
      </c>
      <c r="C24" s="28">
        <v>88</v>
      </c>
      <c r="D24" s="28">
        <v>88</v>
      </c>
      <c r="E24" s="28">
        <v>88</v>
      </c>
      <c r="F24" s="28">
        <v>82</v>
      </c>
      <c r="G24" s="28">
        <v>86</v>
      </c>
      <c r="H24" s="28">
        <v>88</v>
      </c>
      <c r="I24">
        <f t="shared" si="3"/>
        <v>0</v>
      </c>
      <c r="J24">
        <f t="shared" si="4"/>
        <v>0</v>
      </c>
      <c r="K24">
        <f t="shared" si="5"/>
        <v>0</v>
      </c>
      <c r="L24">
        <f t="shared" si="6"/>
        <v>7.3170731707317069E-2</v>
      </c>
      <c r="M24">
        <f t="shared" si="7"/>
        <v>2.3255813953488372E-2</v>
      </c>
      <c r="N24">
        <f t="shared" si="8"/>
        <v>0</v>
      </c>
      <c r="O24">
        <f t="shared" si="9"/>
        <v>1</v>
      </c>
      <c r="P24">
        <f t="shared" si="10"/>
        <v>1</v>
      </c>
      <c r="Q24">
        <f t="shared" si="11"/>
        <v>1</v>
      </c>
      <c r="R24">
        <f t="shared" si="12"/>
        <v>0.92682926829268297</v>
      </c>
      <c r="S24">
        <f t="shared" si="13"/>
        <v>0.97674418604651159</v>
      </c>
      <c r="T24">
        <f t="shared" si="14"/>
        <v>1</v>
      </c>
      <c r="U24">
        <f t="shared" si="16"/>
        <v>1</v>
      </c>
      <c r="V24">
        <f t="shared" si="17"/>
        <v>1</v>
      </c>
      <c r="W24">
        <f t="shared" si="18"/>
        <v>1</v>
      </c>
      <c r="X24">
        <f t="shared" si="19"/>
        <v>0.57617387128421771</v>
      </c>
      <c r="Y24">
        <f t="shared" si="20"/>
        <v>0.7364628642103741</v>
      </c>
      <c r="Z24">
        <f>T24*Z23</f>
        <v>1</v>
      </c>
    </row>
    <row r="25" spans="1:26" x14ac:dyDescent="0.2">
      <c r="A25" s="28">
        <v>-7</v>
      </c>
      <c r="B25" s="28">
        <v>23</v>
      </c>
      <c r="C25" s="28">
        <v>88</v>
      </c>
      <c r="D25" s="28">
        <v>88</v>
      </c>
      <c r="E25" s="28">
        <v>88</v>
      </c>
      <c r="F25" s="28">
        <v>82</v>
      </c>
      <c r="G25" s="28">
        <v>86</v>
      </c>
      <c r="H25" s="28">
        <v>88</v>
      </c>
      <c r="I25">
        <f t="shared" si="3"/>
        <v>0</v>
      </c>
      <c r="J25">
        <f t="shared" si="4"/>
        <v>0</v>
      </c>
      <c r="K25">
        <f t="shared" si="5"/>
        <v>0</v>
      </c>
      <c r="L25">
        <f t="shared" si="6"/>
        <v>7.3170731707317069E-2</v>
      </c>
      <c r="M25">
        <f t="shared" si="7"/>
        <v>2.3255813953488372E-2</v>
      </c>
      <c r="N25">
        <f t="shared" si="8"/>
        <v>0</v>
      </c>
      <c r="O25">
        <f t="shared" si="9"/>
        <v>1</v>
      </c>
      <c r="P25">
        <f t="shared" si="10"/>
        <v>1</v>
      </c>
      <c r="Q25">
        <f t="shared" si="11"/>
        <v>1</v>
      </c>
      <c r="R25">
        <f t="shared" si="12"/>
        <v>0.92682926829268297</v>
      </c>
      <c r="S25">
        <f t="shared" si="13"/>
        <v>0.97674418604651159</v>
      </c>
      <c r="T25">
        <f t="shared" si="14"/>
        <v>1</v>
      </c>
      <c r="U25">
        <f t="shared" si="16"/>
        <v>1</v>
      </c>
      <c r="V25">
        <f t="shared" si="17"/>
        <v>1</v>
      </c>
      <c r="W25">
        <f t="shared" si="18"/>
        <v>1</v>
      </c>
      <c r="X25">
        <f t="shared" si="19"/>
        <v>0.53401480753171404</v>
      </c>
      <c r="Y25">
        <f t="shared" si="20"/>
        <v>0.71933582085664449</v>
      </c>
      <c r="Z25">
        <f>T25*Z24</f>
        <v>1</v>
      </c>
    </row>
    <row r="26" spans="1:26" x14ac:dyDescent="0.2">
      <c r="A26" s="28">
        <v>-6</v>
      </c>
      <c r="B26" s="28">
        <v>24</v>
      </c>
      <c r="C26" s="28">
        <v>88</v>
      </c>
      <c r="D26" s="28">
        <v>88</v>
      </c>
      <c r="E26" s="28">
        <v>88</v>
      </c>
      <c r="F26" s="28">
        <v>82</v>
      </c>
      <c r="G26" s="28">
        <v>86</v>
      </c>
      <c r="H26" s="28">
        <v>88</v>
      </c>
      <c r="I26">
        <f t="shared" si="3"/>
        <v>0</v>
      </c>
      <c r="J26">
        <f t="shared" si="4"/>
        <v>0</v>
      </c>
      <c r="K26">
        <f t="shared" si="5"/>
        <v>0</v>
      </c>
      <c r="L26">
        <f t="shared" si="6"/>
        <v>7.3170731707317069E-2</v>
      </c>
      <c r="M26">
        <f t="shared" si="7"/>
        <v>2.3255813953488372E-2</v>
      </c>
      <c r="N26">
        <f t="shared" si="8"/>
        <v>0</v>
      </c>
      <c r="O26">
        <f t="shared" si="9"/>
        <v>1</v>
      </c>
      <c r="P26">
        <f t="shared" si="10"/>
        <v>1</v>
      </c>
      <c r="Q26">
        <f t="shared" si="11"/>
        <v>1</v>
      </c>
      <c r="R26">
        <f t="shared" si="12"/>
        <v>0.92682926829268297</v>
      </c>
      <c r="S26">
        <f t="shared" si="13"/>
        <v>0.97674418604651159</v>
      </c>
      <c r="T26">
        <f t="shared" si="14"/>
        <v>1</v>
      </c>
      <c r="U26">
        <f t="shared" si="16"/>
        <v>1</v>
      </c>
      <c r="V26">
        <f t="shared" si="17"/>
        <v>1</v>
      </c>
      <c r="W26">
        <f t="shared" si="18"/>
        <v>1</v>
      </c>
      <c r="X26">
        <f t="shared" si="19"/>
        <v>0.49494055332207643</v>
      </c>
      <c r="Y26">
        <f t="shared" si="20"/>
        <v>0.70260708083672252</v>
      </c>
      <c r="Z26">
        <f>T26*Z25</f>
        <v>1</v>
      </c>
    </row>
    <row r="27" spans="1:26" x14ac:dyDescent="0.2">
      <c r="A27" s="28">
        <v>-5</v>
      </c>
      <c r="B27" s="28">
        <v>25</v>
      </c>
      <c r="C27" s="28">
        <v>88</v>
      </c>
      <c r="D27" s="28">
        <v>88</v>
      </c>
      <c r="E27" s="28">
        <v>88</v>
      </c>
      <c r="F27" s="28">
        <v>80</v>
      </c>
      <c r="G27" s="28">
        <v>86</v>
      </c>
      <c r="H27" s="28">
        <v>88</v>
      </c>
      <c r="I27">
        <f t="shared" si="3"/>
        <v>0</v>
      </c>
      <c r="J27">
        <f t="shared" si="4"/>
        <v>0</v>
      </c>
      <c r="K27">
        <f t="shared" si="5"/>
        <v>0</v>
      </c>
      <c r="L27">
        <f t="shared" si="6"/>
        <v>0.1</v>
      </c>
      <c r="M27">
        <f t="shared" si="7"/>
        <v>2.3255813953488372E-2</v>
      </c>
      <c r="N27">
        <f t="shared" si="8"/>
        <v>0</v>
      </c>
      <c r="O27">
        <f t="shared" si="9"/>
        <v>1</v>
      </c>
      <c r="P27">
        <f t="shared" si="10"/>
        <v>1</v>
      </c>
      <c r="Q27">
        <f t="shared" si="11"/>
        <v>1</v>
      </c>
      <c r="R27">
        <f t="shared" si="12"/>
        <v>0.9</v>
      </c>
      <c r="S27">
        <f t="shared" si="13"/>
        <v>0.97674418604651159</v>
      </c>
      <c r="T27">
        <f t="shared" si="14"/>
        <v>1</v>
      </c>
      <c r="U27">
        <f t="shared" si="16"/>
        <v>1</v>
      </c>
      <c r="V27">
        <f t="shared" si="17"/>
        <v>1</v>
      </c>
      <c r="W27">
        <f t="shared" si="18"/>
        <v>1</v>
      </c>
      <c r="X27">
        <f t="shared" si="19"/>
        <v>0.44544649798986879</v>
      </c>
      <c r="Y27">
        <f t="shared" si="20"/>
        <v>0.68626738128238007</v>
      </c>
      <c r="Z27">
        <f>T27*Z26</f>
        <v>1</v>
      </c>
    </row>
    <row r="28" spans="1:26" x14ac:dyDescent="0.2">
      <c r="A28" s="28">
        <v>-4</v>
      </c>
      <c r="B28" s="28">
        <v>26</v>
      </c>
      <c r="C28" s="28">
        <v>88</v>
      </c>
      <c r="D28" s="28">
        <v>88</v>
      </c>
      <c r="E28" s="28">
        <v>88</v>
      </c>
      <c r="F28" s="28">
        <v>80</v>
      </c>
      <c r="G28" s="28">
        <v>86</v>
      </c>
      <c r="H28" s="28">
        <v>88</v>
      </c>
      <c r="I28">
        <f t="shared" si="3"/>
        <v>0</v>
      </c>
      <c r="J28">
        <f t="shared" si="4"/>
        <v>0</v>
      </c>
      <c r="K28">
        <f t="shared" si="5"/>
        <v>0</v>
      </c>
      <c r="L28">
        <f t="shared" si="6"/>
        <v>0.1</v>
      </c>
      <c r="M28">
        <f t="shared" si="7"/>
        <v>2.3255813953488372E-2</v>
      </c>
      <c r="N28">
        <f t="shared" si="8"/>
        <v>0</v>
      </c>
      <c r="O28">
        <f t="shared" si="9"/>
        <v>1</v>
      </c>
      <c r="P28">
        <f t="shared" si="10"/>
        <v>1</v>
      </c>
      <c r="Q28">
        <f t="shared" si="11"/>
        <v>1</v>
      </c>
      <c r="R28">
        <f t="shared" si="12"/>
        <v>0.9</v>
      </c>
      <c r="S28">
        <f t="shared" si="13"/>
        <v>0.97674418604651159</v>
      </c>
      <c r="T28">
        <f t="shared" si="14"/>
        <v>1</v>
      </c>
      <c r="U28">
        <f t="shared" si="16"/>
        <v>1</v>
      </c>
      <c r="V28">
        <f t="shared" si="17"/>
        <v>1</v>
      </c>
      <c r="W28">
        <f t="shared" si="18"/>
        <v>1</v>
      </c>
      <c r="X28">
        <f t="shared" si="19"/>
        <v>0.40090184819088193</v>
      </c>
      <c r="Y28">
        <f t="shared" si="20"/>
        <v>0.67030767474092934</v>
      </c>
      <c r="Z28">
        <f>T28*Z27</f>
        <v>1</v>
      </c>
    </row>
    <row r="29" spans="1:26" x14ac:dyDescent="0.2">
      <c r="A29" s="28">
        <v>-3</v>
      </c>
      <c r="B29" s="28">
        <v>27</v>
      </c>
      <c r="C29" s="28">
        <v>88</v>
      </c>
      <c r="D29" s="28">
        <v>88</v>
      </c>
      <c r="E29" s="28">
        <v>87</v>
      </c>
      <c r="F29" s="28">
        <v>78</v>
      </c>
      <c r="G29" s="28">
        <v>86</v>
      </c>
      <c r="H29" s="28">
        <v>85</v>
      </c>
      <c r="I29">
        <f t="shared" si="3"/>
        <v>0</v>
      </c>
      <c r="J29">
        <f t="shared" si="4"/>
        <v>0</v>
      </c>
      <c r="K29">
        <f t="shared" si="5"/>
        <v>1.1494252873563218E-2</v>
      </c>
      <c r="L29">
        <f t="shared" si="6"/>
        <v>0.12820512820512819</v>
      </c>
      <c r="M29">
        <f t="shared" si="7"/>
        <v>2.3255813953488372E-2</v>
      </c>
      <c r="N29">
        <f t="shared" si="8"/>
        <v>3.5294117647058823E-2</v>
      </c>
      <c r="O29">
        <f t="shared" si="9"/>
        <v>1</v>
      </c>
      <c r="P29">
        <f t="shared" si="10"/>
        <v>1</v>
      </c>
      <c r="Q29">
        <f t="shared" si="11"/>
        <v>0.9885057471264368</v>
      </c>
      <c r="R29">
        <f t="shared" si="12"/>
        <v>0.87179487179487181</v>
      </c>
      <c r="S29">
        <f t="shared" si="13"/>
        <v>0.97674418604651159</v>
      </c>
      <c r="T29">
        <f t="shared" si="14"/>
        <v>0.96470588235294119</v>
      </c>
      <c r="U29">
        <f t="shared" si="16"/>
        <v>1</v>
      </c>
      <c r="V29">
        <f t="shared" si="17"/>
        <v>1</v>
      </c>
      <c r="W29">
        <f t="shared" si="18"/>
        <v>0.9885057471264368</v>
      </c>
      <c r="X29">
        <f t="shared" si="19"/>
        <v>0.34950417534589706</v>
      </c>
      <c r="Y29">
        <f t="shared" si="20"/>
        <v>0.65471912416555889</v>
      </c>
      <c r="Z29">
        <f>T29*Z28</f>
        <v>0.96470588235294119</v>
      </c>
    </row>
    <row r="30" spans="1:26" x14ac:dyDescent="0.2">
      <c r="A30" s="28">
        <v>-2</v>
      </c>
      <c r="B30" s="28">
        <v>28</v>
      </c>
      <c r="C30" s="28">
        <v>88</v>
      </c>
      <c r="D30" s="28">
        <v>88</v>
      </c>
      <c r="E30" s="28">
        <v>87</v>
      </c>
      <c r="F30" s="28">
        <v>78</v>
      </c>
      <c r="G30" s="28">
        <v>86</v>
      </c>
      <c r="H30" s="28">
        <v>85</v>
      </c>
      <c r="I30">
        <f t="shared" si="3"/>
        <v>0</v>
      </c>
      <c r="J30">
        <f t="shared" si="4"/>
        <v>0</v>
      </c>
      <c r="K30">
        <f t="shared" si="5"/>
        <v>1.1494252873563218E-2</v>
      </c>
      <c r="L30">
        <f t="shared" si="6"/>
        <v>0.12820512820512819</v>
      </c>
      <c r="M30">
        <f t="shared" si="7"/>
        <v>2.3255813953488372E-2</v>
      </c>
      <c r="N30">
        <f t="shared" si="8"/>
        <v>3.5294117647058823E-2</v>
      </c>
      <c r="O30">
        <f t="shared" si="9"/>
        <v>1</v>
      </c>
      <c r="P30">
        <f t="shared" si="10"/>
        <v>1</v>
      </c>
      <c r="Q30">
        <f t="shared" si="11"/>
        <v>0.9885057471264368</v>
      </c>
      <c r="R30">
        <f t="shared" si="12"/>
        <v>0.87179487179487181</v>
      </c>
      <c r="S30">
        <f t="shared" si="13"/>
        <v>0.97674418604651159</v>
      </c>
      <c r="T30">
        <f t="shared" si="14"/>
        <v>0.96470588235294119</v>
      </c>
      <c r="U30">
        <f t="shared" si="16"/>
        <v>1</v>
      </c>
      <c r="V30">
        <f t="shared" si="17"/>
        <v>1</v>
      </c>
      <c r="W30">
        <f t="shared" si="18"/>
        <v>0.97714361210199496</v>
      </c>
      <c r="X30">
        <f t="shared" si="19"/>
        <v>0.30469594773744874</v>
      </c>
      <c r="Y30">
        <f t="shared" si="20"/>
        <v>0.6394930980221738</v>
      </c>
      <c r="Z30">
        <f>T30*Z29</f>
        <v>0.93065743944636681</v>
      </c>
    </row>
    <row r="31" spans="1:26" x14ac:dyDescent="0.2">
      <c r="A31" s="28">
        <v>-1</v>
      </c>
      <c r="B31" s="28">
        <v>29</v>
      </c>
      <c r="C31" s="28">
        <v>88</v>
      </c>
      <c r="D31" s="28">
        <v>88</v>
      </c>
      <c r="E31" s="28">
        <v>87</v>
      </c>
      <c r="F31" s="28">
        <v>78</v>
      </c>
      <c r="G31" s="28">
        <v>86</v>
      </c>
      <c r="H31" s="28">
        <v>85</v>
      </c>
      <c r="I31">
        <f t="shared" si="3"/>
        <v>0</v>
      </c>
      <c r="J31">
        <f t="shared" si="4"/>
        <v>0</v>
      </c>
      <c r="K31">
        <f t="shared" si="5"/>
        <v>1.1494252873563218E-2</v>
      </c>
      <c r="L31">
        <f t="shared" si="6"/>
        <v>0.12820512820512819</v>
      </c>
      <c r="M31">
        <f t="shared" si="7"/>
        <v>2.3255813953488372E-2</v>
      </c>
      <c r="N31">
        <f t="shared" si="8"/>
        <v>3.5294117647058823E-2</v>
      </c>
      <c r="O31">
        <f t="shared" si="9"/>
        <v>1</v>
      </c>
      <c r="P31">
        <f t="shared" si="10"/>
        <v>1</v>
      </c>
      <c r="Q31">
        <f t="shared" si="11"/>
        <v>0.9885057471264368</v>
      </c>
      <c r="R31">
        <f t="shared" si="12"/>
        <v>0.87179487179487181</v>
      </c>
      <c r="S31">
        <f t="shared" si="13"/>
        <v>0.97674418604651159</v>
      </c>
      <c r="T31">
        <f t="shared" si="14"/>
        <v>0.96470588235294119</v>
      </c>
      <c r="U31">
        <f t="shared" si="16"/>
        <v>1</v>
      </c>
      <c r="V31">
        <f t="shared" si="17"/>
        <v>1</v>
      </c>
      <c r="W31">
        <f t="shared" si="18"/>
        <v>0.96591207633070764</v>
      </c>
      <c r="X31">
        <f t="shared" si="19"/>
        <v>0.26563236469418611</v>
      </c>
      <c r="Y31">
        <f t="shared" si="20"/>
        <v>0.62462116551003022</v>
      </c>
      <c r="Z31">
        <f>T31*Z30</f>
        <v>0.89781070628943627</v>
      </c>
    </row>
    <row r="32" spans="1:26" x14ac:dyDescent="0.2">
      <c r="A32" s="28">
        <v>0</v>
      </c>
      <c r="B32" s="28">
        <v>30</v>
      </c>
      <c r="C32" s="28">
        <v>88</v>
      </c>
      <c r="D32" s="28">
        <v>86</v>
      </c>
      <c r="E32" s="28">
        <v>87</v>
      </c>
      <c r="F32" s="28">
        <v>77</v>
      </c>
      <c r="G32" s="28">
        <v>85</v>
      </c>
      <c r="H32" s="28">
        <v>80</v>
      </c>
      <c r="I32">
        <f t="shared" si="3"/>
        <v>0</v>
      </c>
      <c r="J32">
        <f t="shared" si="4"/>
        <v>2.3255813953488372E-2</v>
      </c>
      <c r="K32">
        <f t="shared" si="5"/>
        <v>1.1494252873563218E-2</v>
      </c>
      <c r="L32">
        <f t="shared" si="6"/>
        <v>0.14285714285714285</v>
      </c>
      <c r="M32">
        <f t="shared" si="7"/>
        <v>3.5294117647058823E-2</v>
      </c>
      <c r="N32">
        <f t="shared" si="8"/>
        <v>0.1</v>
      </c>
      <c r="O32">
        <f t="shared" si="9"/>
        <v>1</v>
      </c>
      <c r="P32">
        <f t="shared" si="10"/>
        <v>0.97674418604651159</v>
      </c>
      <c r="Q32">
        <f t="shared" si="11"/>
        <v>0.9885057471264368</v>
      </c>
      <c r="R32">
        <f t="shared" si="12"/>
        <v>0.85714285714285721</v>
      </c>
      <c r="S32">
        <f t="shared" si="13"/>
        <v>0.96470588235294119</v>
      </c>
      <c r="T32">
        <f t="shared" si="14"/>
        <v>0.9</v>
      </c>
      <c r="U32">
        <f t="shared" si="16"/>
        <v>1</v>
      </c>
      <c r="V32">
        <f t="shared" si="17"/>
        <v>0.97674418604651159</v>
      </c>
      <c r="W32">
        <f t="shared" si="18"/>
        <v>0.95480963867173396</v>
      </c>
      <c r="X32">
        <f t="shared" si="19"/>
        <v>0.22768488402358811</v>
      </c>
      <c r="Y32">
        <f t="shared" si="20"/>
        <v>0.60257571260967624</v>
      </c>
      <c r="Z32">
        <f>T32*Z31</f>
        <v>0.80802963566049268</v>
      </c>
    </row>
    <row r="33" spans="1:26" x14ac:dyDescent="0.2">
      <c r="A33" s="28">
        <v>1</v>
      </c>
      <c r="B33" s="28">
        <v>31</v>
      </c>
      <c r="C33" s="28">
        <v>88</v>
      </c>
      <c r="D33" s="28">
        <v>86</v>
      </c>
      <c r="E33" s="28">
        <v>87</v>
      </c>
      <c r="F33" s="28">
        <v>77</v>
      </c>
      <c r="G33" s="28">
        <v>85</v>
      </c>
      <c r="H33" s="28">
        <v>79</v>
      </c>
      <c r="I33">
        <f t="shared" si="3"/>
        <v>0</v>
      </c>
      <c r="J33">
        <f t="shared" si="4"/>
        <v>2.3255813953488372E-2</v>
      </c>
      <c r="K33">
        <f t="shared" si="5"/>
        <v>1.1494252873563218E-2</v>
      </c>
      <c r="L33">
        <f t="shared" si="6"/>
        <v>0.14285714285714285</v>
      </c>
      <c r="M33">
        <f t="shared" si="7"/>
        <v>3.5294117647058823E-2</v>
      </c>
      <c r="N33">
        <f t="shared" si="8"/>
        <v>0.11392405063291139</v>
      </c>
      <c r="O33">
        <f t="shared" si="9"/>
        <v>1</v>
      </c>
      <c r="P33">
        <f t="shared" si="10"/>
        <v>0.97674418604651159</v>
      </c>
      <c r="Q33">
        <f t="shared" si="11"/>
        <v>0.9885057471264368</v>
      </c>
      <c r="R33">
        <f t="shared" si="12"/>
        <v>0.85714285714285721</v>
      </c>
      <c r="S33">
        <f t="shared" si="13"/>
        <v>0.96470588235294119</v>
      </c>
      <c r="T33">
        <f t="shared" si="14"/>
        <v>0.88607594936708867</v>
      </c>
      <c r="U33">
        <f t="shared" si="16"/>
        <v>1</v>
      </c>
      <c r="V33">
        <f t="shared" si="17"/>
        <v>0.95402920497566246</v>
      </c>
      <c r="W33">
        <f t="shared" si="18"/>
        <v>0.94383481523872559</v>
      </c>
      <c r="X33">
        <f t="shared" si="19"/>
        <v>0.19515847202021838</v>
      </c>
      <c r="Y33">
        <f t="shared" si="20"/>
        <v>0.58130833451757002</v>
      </c>
      <c r="Z33">
        <f>T33*Z32</f>
        <v>0.71597562653461377</v>
      </c>
    </row>
    <row r="34" spans="1:26" x14ac:dyDescent="0.2">
      <c r="A34" s="28">
        <v>2</v>
      </c>
      <c r="B34" s="28">
        <v>32</v>
      </c>
      <c r="C34" s="28">
        <v>88</v>
      </c>
      <c r="D34" s="28">
        <v>83</v>
      </c>
      <c r="E34" s="28">
        <v>87</v>
      </c>
      <c r="F34" s="28">
        <v>77</v>
      </c>
      <c r="G34" s="28">
        <v>84</v>
      </c>
      <c r="H34" s="28">
        <v>79</v>
      </c>
      <c r="I34">
        <f t="shared" si="3"/>
        <v>0</v>
      </c>
      <c r="J34">
        <f t="shared" si="4"/>
        <v>6.0240963855421686E-2</v>
      </c>
      <c r="K34">
        <f t="shared" si="5"/>
        <v>1.1494252873563218E-2</v>
      </c>
      <c r="L34">
        <f t="shared" si="6"/>
        <v>0.14285714285714285</v>
      </c>
      <c r="M34">
        <f t="shared" si="7"/>
        <v>4.7619047619047616E-2</v>
      </c>
      <c r="N34">
        <f t="shared" si="8"/>
        <v>0.11392405063291139</v>
      </c>
      <c r="O34">
        <f t="shared" si="9"/>
        <v>1</v>
      </c>
      <c r="P34">
        <f t="shared" si="10"/>
        <v>0.93975903614457834</v>
      </c>
      <c r="Q34">
        <f t="shared" si="11"/>
        <v>0.9885057471264368</v>
      </c>
      <c r="R34">
        <f t="shared" si="12"/>
        <v>0.85714285714285721</v>
      </c>
      <c r="S34">
        <f t="shared" si="13"/>
        <v>0.95238095238095233</v>
      </c>
      <c r="T34">
        <f t="shared" si="14"/>
        <v>0.88607594936708867</v>
      </c>
      <c r="U34">
        <f t="shared" si="16"/>
        <v>1</v>
      </c>
      <c r="V34">
        <f t="shared" si="17"/>
        <v>0.89655756612170689</v>
      </c>
      <c r="W34">
        <f t="shared" si="18"/>
        <v>0.93298613920149887</v>
      </c>
      <c r="X34">
        <f t="shared" si="19"/>
        <v>0.16727869030304435</v>
      </c>
      <c r="Y34">
        <f t="shared" si="20"/>
        <v>0.55362698525482856</v>
      </c>
      <c r="Z34">
        <f>T34*Z33</f>
        <v>0.63440878300535397</v>
      </c>
    </row>
    <row r="35" spans="1:26" x14ac:dyDescent="0.2">
      <c r="A35" s="28">
        <v>3</v>
      </c>
      <c r="B35" s="28">
        <v>33</v>
      </c>
      <c r="C35" s="28">
        <v>88</v>
      </c>
      <c r="D35" s="28">
        <v>83</v>
      </c>
      <c r="E35" s="28">
        <v>82</v>
      </c>
      <c r="F35" s="28">
        <v>74</v>
      </c>
      <c r="G35" s="28">
        <v>82</v>
      </c>
      <c r="H35" s="28">
        <v>64</v>
      </c>
      <c r="I35">
        <f t="shared" si="3"/>
        <v>0</v>
      </c>
      <c r="J35">
        <f t="shared" si="4"/>
        <v>6.0240963855421686E-2</v>
      </c>
      <c r="K35">
        <f t="shared" si="5"/>
        <v>7.3170731707317069E-2</v>
      </c>
      <c r="L35">
        <f t="shared" si="6"/>
        <v>0.1891891891891892</v>
      </c>
      <c r="M35">
        <f t="shared" si="7"/>
        <v>7.3170731707317069E-2</v>
      </c>
      <c r="N35">
        <f t="shared" si="8"/>
        <v>0.375</v>
      </c>
      <c r="O35">
        <f t="shared" si="9"/>
        <v>1</v>
      </c>
      <c r="P35">
        <f t="shared" si="10"/>
        <v>0.93975903614457834</v>
      </c>
      <c r="Q35">
        <f t="shared" si="11"/>
        <v>0.92682926829268297</v>
      </c>
      <c r="R35">
        <f t="shared" si="12"/>
        <v>0.81081081081081074</v>
      </c>
      <c r="S35">
        <f t="shared" si="13"/>
        <v>0.92682926829268297</v>
      </c>
      <c r="T35">
        <f t="shared" si="14"/>
        <v>0.625</v>
      </c>
      <c r="U35">
        <f t="shared" si="16"/>
        <v>1</v>
      </c>
      <c r="V35">
        <f t="shared" si="17"/>
        <v>0.84254807418666433</v>
      </c>
      <c r="W35">
        <f t="shared" si="18"/>
        <v>0.86471886072334048</v>
      </c>
      <c r="X35">
        <f t="shared" si="19"/>
        <v>0.1356313705159819</v>
      </c>
      <c r="Y35">
        <f t="shared" si="20"/>
        <v>0.51311769365081672</v>
      </c>
      <c r="Z35">
        <f>T35*Z34</f>
        <v>0.39650548937834623</v>
      </c>
    </row>
    <row r="36" spans="1:26" x14ac:dyDescent="0.2">
      <c r="A36" s="28">
        <v>4</v>
      </c>
      <c r="B36" s="28">
        <v>34</v>
      </c>
      <c r="C36" s="28">
        <v>88</v>
      </c>
      <c r="D36" s="28">
        <v>80</v>
      </c>
      <c r="E36" s="28">
        <v>82</v>
      </c>
      <c r="F36" s="28">
        <v>74</v>
      </c>
      <c r="G36" s="28">
        <v>81</v>
      </c>
      <c r="H36" s="28">
        <v>64</v>
      </c>
      <c r="I36">
        <f t="shared" si="3"/>
        <v>0</v>
      </c>
      <c r="J36">
        <f t="shared" si="4"/>
        <v>0.1</v>
      </c>
      <c r="K36">
        <f t="shared" si="5"/>
        <v>7.3170731707317069E-2</v>
      </c>
      <c r="L36">
        <f t="shared" si="6"/>
        <v>0.1891891891891892</v>
      </c>
      <c r="M36">
        <f t="shared" si="7"/>
        <v>8.6419753086419748E-2</v>
      </c>
      <c r="N36">
        <f t="shared" si="8"/>
        <v>0.375</v>
      </c>
      <c r="O36">
        <f t="shared" si="9"/>
        <v>1</v>
      </c>
      <c r="P36">
        <f t="shared" si="10"/>
        <v>0.9</v>
      </c>
      <c r="Q36">
        <f t="shared" si="11"/>
        <v>0.92682926829268297</v>
      </c>
      <c r="R36">
        <f t="shared" si="12"/>
        <v>0.81081081081081074</v>
      </c>
      <c r="S36">
        <f t="shared" si="13"/>
        <v>0.91358024691358031</v>
      </c>
      <c r="T36">
        <f t="shared" si="14"/>
        <v>0.625</v>
      </c>
      <c r="U36">
        <f t="shared" si="16"/>
        <v>1</v>
      </c>
      <c r="V36">
        <f t="shared" si="17"/>
        <v>0.75829326676799791</v>
      </c>
      <c r="W36">
        <f t="shared" si="18"/>
        <v>0.80144674896309609</v>
      </c>
      <c r="X36">
        <f t="shared" si="19"/>
        <v>0.10997138149944477</v>
      </c>
      <c r="Y36">
        <f t="shared" si="20"/>
        <v>0.46877418926123998</v>
      </c>
      <c r="Z36">
        <f>T36*Z35</f>
        <v>0.24781593086146639</v>
      </c>
    </row>
    <row r="37" spans="1:26" x14ac:dyDescent="0.2">
      <c r="A37" s="28">
        <v>5</v>
      </c>
      <c r="B37" s="28">
        <v>35</v>
      </c>
      <c r="C37" s="28">
        <v>88</v>
      </c>
      <c r="D37" s="28">
        <v>80</v>
      </c>
      <c r="E37" s="28">
        <v>82</v>
      </c>
      <c r="F37" s="28">
        <v>74</v>
      </c>
      <c r="G37" s="28">
        <v>80</v>
      </c>
      <c r="H37" s="28">
        <v>64</v>
      </c>
      <c r="I37">
        <f t="shared" si="3"/>
        <v>0</v>
      </c>
      <c r="J37">
        <f t="shared" si="4"/>
        <v>0.1</v>
      </c>
      <c r="K37">
        <f t="shared" si="5"/>
        <v>7.3170731707317069E-2</v>
      </c>
      <c r="L37">
        <f t="shared" si="6"/>
        <v>0.1891891891891892</v>
      </c>
      <c r="M37">
        <f t="shared" si="7"/>
        <v>0.1</v>
      </c>
      <c r="N37">
        <f t="shared" si="8"/>
        <v>0.375</v>
      </c>
      <c r="O37">
        <f t="shared" si="9"/>
        <v>1</v>
      </c>
      <c r="P37">
        <f t="shared" si="10"/>
        <v>0.9</v>
      </c>
      <c r="Q37">
        <f t="shared" si="11"/>
        <v>0.92682926829268297</v>
      </c>
      <c r="R37">
        <f t="shared" si="12"/>
        <v>0.81081081081081074</v>
      </c>
      <c r="S37">
        <f t="shared" si="13"/>
        <v>0.9</v>
      </c>
      <c r="T37">
        <f t="shared" si="14"/>
        <v>0.625</v>
      </c>
      <c r="U37">
        <f t="shared" si="16"/>
        <v>1</v>
      </c>
      <c r="V37">
        <f t="shared" si="17"/>
        <v>0.68246394009119815</v>
      </c>
      <c r="W37">
        <f t="shared" si="18"/>
        <v>0.74280430391701591</v>
      </c>
      <c r="X37">
        <f t="shared" si="19"/>
        <v>8.9165984999549808E-2</v>
      </c>
      <c r="Y37">
        <f t="shared" si="20"/>
        <v>0.42189677033511597</v>
      </c>
      <c r="Z37">
        <f>T37*Z36</f>
        <v>0.15488495678841649</v>
      </c>
    </row>
    <row r="38" spans="1:26" x14ac:dyDescent="0.2">
      <c r="A38" s="28">
        <v>6</v>
      </c>
      <c r="B38" s="28">
        <v>36</v>
      </c>
      <c r="C38" s="28">
        <v>88</v>
      </c>
      <c r="D38" s="28">
        <v>80</v>
      </c>
      <c r="E38" s="28">
        <v>82</v>
      </c>
      <c r="F38" s="28">
        <v>74</v>
      </c>
      <c r="G38" s="28">
        <v>80</v>
      </c>
      <c r="H38" s="28">
        <v>64</v>
      </c>
      <c r="I38">
        <f t="shared" si="3"/>
        <v>0</v>
      </c>
      <c r="J38">
        <f t="shared" si="4"/>
        <v>0.1</v>
      </c>
      <c r="K38">
        <f t="shared" si="5"/>
        <v>7.3170731707317069E-2</v>
      </c>
      <c r="L38">
        <f t="shared" si="6"/>
        <v>0.1891891891891892</v>
      </c>
      <c r="M38">
        <f t="shared" si="7"/>
        <v>0.1</v>
      </c>
      <c r="N38">
        <f t="shared" si="8"/>
        <v>0.375</v>
      </c>
      <c r="O38">
        <f t="shared" si="9"/>
        <v>1</v>
      </c>
      <c r="P38">
        <f t="shared" si="10"/>
        <v>0.9</v>
      </c>
      <c r="Q38">
        <f t="shared" si="11"/>
        <v>0.92682926829268297</v>
      </c>
      <c r="R38">
        <f t="shared" si="12"/>
        <v>0.81081081081081074</v>
      </c>
      <c r="S38">
        <f t="shared" si="13"/>
        <v>0.9</v>
      </c>
      <c r="T38">
        <f t="shared" si="14"/>
        <v>0.625</v>
      </c>
      <c r="U38">
        <f t="shared" si="16"/>
        <v>1</v>
      </c>
      <c r="V38">
        <f t="shared" si="17"/>
        <v>0.61421754608207835</v>
      </c>
      <c r="W38">
        <f t="shared" si="18"/>
        <v>0.68845276948406353</v>
      </c>
      <c r="X38">
        <f t="shared" si="19"/>
        <v>7.2296744594229564E-2</v>
      </c>
      <c r="Y38">
        <f t="shared" si="20"/>
        <v>0.3797070933016044</v>
      </c>
      <c r="Z38">
        <f>T38*Z37</f>
        <v>9.6803097992760309E-2</v>
      </c>
    </row>
    <row r="39" spans="1:26" x14ac:dyDescent="0.2">
      <c r="A39" s="28">
        <v>7</v>
      </c>
      <c r="B39" s="28">
        <v>37</v>
      </c>
      <c r="C39" s="28">
        <v>88</v>
      </c>
      <c r="D39" s="28">
        <v>80</v>
      </c>
      <c r="E39" s="28">
        <v>80</v>
      </c>
      <c r="F39" s="28">
        <v>74</v>
      </c>
      <c r="G39" s="28">
        <v>80</v>
      </c>
      <c r="H39" s="28">
        <v>57</v>
      </c>
      <c r="I39">
        <f t="shared" si="3"/>
        <v>0</v>
      </c>
      <c r="J39">
        <f t="shared" si="4"/>
        <v>0.1</v>
      </c>
      <c r="K39">
        <f t="shared" si="5"/>
        <v>0.1</v>
      </c>
      <c r="L39">
        <f t="shared" si="6"/>
        <v>0.1891891891891892</v>
      </c>
      <c r="M39">
        <f t="shared" si="7"/>
        <v>0.1</v>
      </c>
      <c r="N39">
        <f t="shared" si="8"/>
        <v>0.54385964912280704</v>
      </c>
      <c r="O39">
        <f t="shared" si="9"/>
        <v>1</v>
      </c>
      <c r="P39">
        <f t="shared" si="10"/>
        <v>0.9</v>
      </c>
      <c r="Q39">
        <f t="shared" si="11"/>
        <v>0.9</v>
      </c>
      <c r="R39">
        <f t="shared" si="12"/>
        <v>0.81081081081081074</v>
      </c>
      <c r="S39">
        <f t="shared" si="13"/>
        <v>0.9</v>
      </c>
      <c r="T39">
        <f t="shared" si="14"/>
        <v>0.45614035087719296</v>
      </c>
      <c r="U39">
        <f t="shared" si="16"/>
        <v>1</v>
      </c>
      <c r="V39">
        <f t="shared" si="17"/>
        <v>0.55279579147387048</v>
      </c>
      <c r="W39">
        <f t="shared" si="18"/>
        <v>0.61960749253565717</v>
      </c>
      <c r="X39">
        <f t="shared" si="19"/>
        <v>5.8618982103429369E-2</v>
      </c>
      <c r="Y39">
        <f t="shared" si="20"/>
        <v>0.34173638397144396</v>
      </c>
      <c r="Z39">
        <f>T39*Z38</f>
        <v>4.4155799084416983E-2</v>
      </c>
    </row>
    <row r="40" spans="1:26" x14ac:dyDescent="0.2">
      <c r="A40" s="28">
        <v>8</v>
      </c>
      <c r="B40" s="28">
        <v>38</v>
      </c>
      <c r="C40" s="28">
        <v>88</v>
      </c>
      <c r="D40" s="28">
        <v>80</v>
      </c>
      <c r="E40" s="28">
        <v>80</v>
      </c>
      <c r="F40" s="28">
        <v>74</v>
      </c>
      <c r="G40" s="28">
        <v>80</v>
      </c>
      <c r="H40" s="28">
        <v>57</v>
      </c>
      <c r="I40">
        <f t="shared" si="3"/>
        <v>0</v>
      </c>
      <c r="J40">
        <f t="shared" si="4"/>
        <v>0.1</v>
      </c>
      <c r="K40">
        <f t="shared" si="5"/>
        <v>0.1</v>
      </c>
      <c r="L40">
        <f t="shared" si="6"/>
        <v>0.1891891891891892</v>
      </c>
      <c r="M40">
        <f t="shared" si="7"/>
        <v>0.1</v>
      </c>
      <c r="N40">
        <f t="shared" si="8"/>
        <v>0.54385964912280704</v>
      </c>
      <c r="O40">
        <f t="shared" si="9"/>
        <v>1</v>
      </c>
      <c r="P40">
        <f t="shared" si="10"/>
        <v>0.9</v>
      </c>
      <c r="Q40">
        <f t="shared" si="11"/>
        <v>0.9</v>
      </c>
      <c r="R40">
        <f t="shared" si="12"/>
        <v>0.81081081081081074</v>
      </c>
      <c r="S40">
        <f t="shared" si="13"/>
        <v>0.9</v>
      </c>
      <c r="T40">
        <f t="shared" si="14"/>
        <v>0.45614035087719296</v>
      </c>
      <c r="U40">
        <f t="shared" si="16"/>
        <v>1</v>
      </c>
      <c r="V40">
        <f t="shared" si="17"/>
        <v>0.49751621232648346</v>
      </c>
      <c r="W40">
        <f t="shared" si="18"/>
        <v>0.55764674328209152</v>
      </c>
      <c r="X40">
        <f t="shared" si="19"/>
        <v>4.7528904408185968E-2</v>
      </c>
      <c r="Y40">
        <f t="shared" si="20"/>
        <v>0.30756274557429958</v>
      </c>
      <c r="Z40">
        <f>T40*Z39</f>
        <v>2.0141241687628798E-2</v>
      </c>
    </row>
    <row r="41" spans="1:26" x14ac:dyDescent="0.2">
      <c r="A41" s="28">
        <v>9</v>
      </c>
      <c r="B41" s="28">
        <v>39</v>
      </c>
      <c r="C41" s="28">
        <v>88</v>
      </c>
      <c r="D41" s="28">
        <v>80</v>
      </c>
      <c r="E41" s="28">
        <v>80</v>
      </c>
      <c r="F41" s="28">
        <v>74</v>
      </c>
      <c r="G41" s="28">
        <v>80</v>
      </c>
      <c r="H41" s="28">
        <v>57</v>
      </c>
      <c r="I41">
        <f t="shared" si="3"/>
        <v>0</v>
      </c>
      <c r="J41">
        <f t="shared" si="4"/>
        <v>0.1</v>
      </c>
      <c r="K41">
        <f t="shared" si="5"/>
        <v>0.1</v>
      </c>
      <c r="L41">
        <f t="shared" si="6"/>
        <v>0.1891891891891892</v>
      </c>
      <c r="M41">
        <f t="shared" si="7"/>
        <v>0.1</v>
      </c>
      <c r="N41">
        <f t="shared" si="8"/>
        <v>0.54385964912280704</v>
      </c>
      <c r="O41">
        <f t="shared" si="9"/>
        <v>1</v>
      </c>
      <c r="P41">
        <f t="shared" si="10"/>
        <v>0.9</v>
      </c>
      <c r="Q41">
        <f t="shared" si="11"/>
        <v>0.9</v>
      </c>
      <c r="R41">
        <f t="shared" si="12"/>
        <v>0.81081081081081074</v>
      </c>
      <c r="S41">
        <f t="shared" si="13"/>
        <v>0.9</v>
      </c>
      <c r="T41">
        <f t="shared" si="14"/>
        <v>0.45614035087719296</v>
      </c>
      <c r="U41">
        <f t="shared" si="16"/>
        <v>1</v>
      </c>
      <c r="V41">
        <f t="shared" si="17"/>
        <v>0.44776459109383515</v>
      </c>
      <c r="W41">
        <f t="shared" si="18"/>
        <v>0.50188206895388243</v>
      </c>
      <c r="X41">
        <f t="shared" si="19"/>
        <v>3.8536949520150784E-2</v>
      </c>
      <c r="Y41">
        <f t="shared" si="20"/>
        <v>0.27680647101686962</v>
      </c>
      <c r="Z41">
        <f>T41*Z40</f>
        <v>9.1872330504973454E-3</v>
      </c>
    </row>
    <row r="42" spans="1:26" x14ac:dyDescent="0.2">
      <c r="A42" s="28">
        <v>10</v>
      </c>
      <c r="B42" s="28">
        <v>40</v>
      </c>
      <c r="C42" s="28">
        <v>88</v>
      </c>
      <c r="D42" s="28">
        <v>80</v>
      </c>
      <c r="E42" s="28">
        <v>80</v>
      </c>
      <c r="F42" s="28">
        <v>74</v>
      </c>
      <c r="G42" s="28">
        <v>80</v>
      </c>
      <c r="H42" s="28">
        <v>57</v>
      </c>
      <c r="I42">
        <f t="shared" si="3"/>
        <v>0</v>
      </c>
      <c r="J42">
        <f t="shared" si="4"/>
        <v>0.1</v>
      </c>
      <c r="K42">
        <f t="shared" si="5"/>
        <v>0.1</v>
      </c>
      <c r="L42">
        <f t="shared" si="6"/>
        <v>0.1891891891891892</v>
      </c>
      <c r="M42">
        <f t="shared" si="7"/>
        <v>0.1</v>
      </c>
      <c r="N42">
        <f t="shared" si="8"/>
        <v>0.54385964912280704</v>
      </c>
      <c r="O42">
        <f t="shared" si="9"/>
        <v>1</v>
      </c>
      <c r="P42">
        <f t="shared" si="10"/>
        <v>0.9</v>
      </c>
      <c r="Q42">
        <f t="shared" si="11"/>
        <v>0.9</v>
      </c>
      <c r="R42">
        <f t="shared" si="12"/>
        <v>0.81081081081081074</v>
      </c>
      <c r="S42">
        <f t="shared" si="13"/>
        <v>0.9</v>
      </c>
      <c r="T42">
        <f t="shared" si="14"/>
        <v>0.45614035087719296</v>
      </c>
      <c r="U42">
        <f t="shared" si="16"/>
        <v>1</v>
      </c>
      <c r="V42">
        <f t="shared" si="17"/>
        <v>0.40298813198445166</v>
      </c>
      <c r="W42">
        <f t="shared" si="18"/>
        <v>0.45169386205849421</v>
      </c>
      <c r="X42">
        <f t="shared" si="19"/>
        <v>3.1246175286608741E-2</v>
      </c>
      <c r="Y42">
        <f t="shared" si="20"/>
        <v>0.24912582391518265</v>
      </c>
      <c r="Z42">
        <f>T42*Z41</f>
        <v>4.1906677072444031E-3</v>
      </c>
    </row>
    <row r="43" spans="1:26" x14ac:dyDescent="0.2">
      <c r="A43" s="28">
        <v>11</v>
      </c>
      <c r="B43" s="28">
        <v>41</v>
      </c>
      <c r="C43" s="28">
        <v>88</v>
      </c>
      <c r="D43" s="28">
        <v>80</v>
      </c>
      <c r="E43" s="28">
        <v>77</v>
      </c>
      <c r="F43" s="28">
        <v>72</v>
      </c>
      <c r="G43" s="28">
        <v>80</v>
      </c>
      <c r="H43" s="28">
        <v>56</v>
      </c>
      <c r="I43">
        <f t="shared" si="3"/>
        <v>0</v>
      </c>
      <c r="J43">
        <f t="shared" si="4"/>
        <v>0.1</v>
      </c>
      <c r="K43">
        <f t="shared" si="5"/>
        <v>0.14285714285714285</v>
      </c>
      <c r="L43">
        <f t="shared" si="6"/>
        <v>0.22222222222222221</v>
      </c>
      <c r="M43">
        <f t="shared" si="7"/>
        <v>0.1</v>
      </c>
      <c r="N43">
        <f t="shared" si="8"/>
        <v>0.5714285714285714</v>
      </c>
      <c r="O43">
        <f t="shared" si="9"/>
        <v>1</v>
      </c>
      <c r="P43">
        <f t="shared" si="10"/>
        <v>0.9</v>
      </c>
      <c r="Q43">
        <f t="shared" si="11"/>
        <v>0.85714285714285721</v>
      </c>
      <c r="R43">
        <f t="shared" si="12"/>
        <v>0.77777777777777779</v>
      </c>
      <c r="S43">
        <f t="shared" si="13"/>
        <v>0.9</v>
      </c>
      <c r="T43">
        <f t="shared" si="14"/>
        <v>0.4285714285714286</v>
      </c>
      <c r="U43">
        <f t="shared" si="16"/>
        <v>1</v>
      </c>
      <c r="V43">
        <f t="shared" si="17"/>
        <v>0.36268931878600652</v>
      </c>
      <c r="W43">
        <f t="shared" si="18"/>
        <v>0.38716616747870936</v>
      </c>
      <c r="X43">
        <f t="shared" si="19"/>
        <v>2.4302580778473467E-2</v>
      </c>
      <c r="Y43">
        <f t="shared" si="20"/>
        <v>0.2242132415236644</v>
      </c>
      <c r="Z43">
        <f>T43*Z42</f>
        <v>1.7960004459618873E-3</v>
      </c>
    </row>
    <row r="44" spans="1:26" x14ac:dyDescent="0.2">
      <c r="A44" s="28">
        <v>12</v>
      </c>
      <c r="B44" s="28">
        <v>42</v>
      </c>
      <c r="C44" s="28">
        <v>88</v>
      </c>
      <c r="D44" s="28">
        <v>80</v>
      </c>
      <c r="E44" s="28">
        <v>77</v>
      </c>
      <c r="F44" s="28">
        <v>72</v>
      </c>
      <c r="G44" s="28">
        <v>80</v>
      </c>
      <c r="H44" s="28">
        <v>56</v>
      </c>
      <c r="I44">
        <f t="shared" si="3"/>
        <v>0</v>
      </c>
      <c r="J44">
        <f t="shared" si="4"/>
        <v>0.1</v>
      </c>
      <c r="K44">
        <f t="shared" si="5"/>
        <v>0.14285714285714285</v>
      </c>
      <c r="L44">
        <f t="shared" si="6"/>
        <v>0.22222222222222221</v>
      </c>
      <c r="M44">
        <f t="shared" si="7"/>
        <v>0.1</v>
      </c>
      <c r="N44">
        <f t="shared" si="8"/>
        <v>0.5714285714285714</v>
      </c>
      <c r="O44">
        <f t="shared" si="9"/>
        <v>1</v>
      </c>
      <c r="P44">
        <f t="shared" si="10"/>
        <v>0.9</v>
      </c>
      <c r="Q44">
        <f t="shared" si="11"/>
        <v>0.85714285714285721</v>
      </c>
      <c r="R44">
        <f t="shared" si="12"/>
        <v>0.77777777777777779</v>
      </c>
      <c r="S44">
        <f t="shared" si="13"/>
        <v>0.9</v>
      </c>
      <c r="T44">
        <f t="shared" si="14"/>
        <v>0.4285714285714286</v>
      </c>
      <c r="U44">
        <f t="shared" si="16"/>
        <v>1</v>
      </c>
      <c r="V44">
        <f t="shared" si="17"/>
        <v>0.32642038690740588</v>
      </c>
      <c r="W44">
        <f t="shared" si="18"/>
        <v>0.3318567149817509</v>
      </c>
      <c r="X44">
        <f t="shared" si="19"/>
        <v>1.890200727214603E-2</v>
      </c>
      <c r="Y44">
        <f t="shared" si="20"/>
        <v>0.20179191737129795</v>
      </c>
      <c r="Z44">
        <f>T44*Z43</f>
        <v>7.6971447684080893E-4</v>
      </c>
    </row>
    <row r="45" spans="1:26" x14ac:dyDescent="0.2">
      <c r="A45" s="28">
        <v>13</v>
      </c>
      <c r="B45" s="28">
        <v>43</v>
      </c>
      <c r="C45" s="28">
        <v>88</v>
      </c>
      <c r="D45" s="28">
        <v>80</v>
      </c>
      <c r="E45" s="28">
        <v>77</v>
      </c>
      <c r="F45" s="28">
        <v>72</v>
      </c>
      <c r="G45" s="28">
        <v>80</v>
      </c>
      <c r="H45" s="28">
        <v>56</v>
      </c>
      <c r="I45">
        <f t="shared" si="3"/>
        <v>0</v>
      </c>
      <c r="J45">
        <f t="shared" si="4"/>
        <v>0.1</v>
      </c>
      <c r="K45">
        <f t="shared" si="5"/>
        <v>0.14285714285714285</v>
      </c>
      <c r="L45">
        <f t="shared" si="6"/>
        <v>0.22222222222222221</v>
      </c>
      <c r="M45">
        <f t="shared" si="7"/>
        <v>0.1</v>
      </c>
      <c r="N45">
        <f t="shared" si="8"/>
        <v>0.5714285714285714</v>
      </c>
      <c r="O45">
        <f t="shared" si="9"/>
        <v>1</v>
      </c>
      <c r="P45">
        <f t="shared" si="10"/>
        <v>0.9</v>
      </c>
      <c r="Q45">
        <f t="shared" si="11"/>
        <v>0.85714285714285721</v>
      </c>
      <c r="R45">
        <f t="shared" si="12"/>
        <v>0.77777777777777779</v>
      </c>
      <c r="S45">
        <f t="shared" si="13"/>
        <v>0.9</v>
      </c>
      <c r="T45">
        <f t="shared" si="14"/>
        <v>0.4285714285714286</v>
      </c>
      <c r="U45">
        <f t="shared" si="16"/>
        <v>1</v>
      </c>
      <c r="V45">
        <f t="shared" si="17"/>
        <v>0.29377834821666532</v>
      </c>
      <c r="W45">
        <f t="shared" si="18"/>
        <v>0.2844486128415008</v>
      </c>
      <c r="X45">
        <f t="shared" si="19"/>
        <v>1.4701561211669134E-2</v>
      </c>
      <c r="Y45">
        <f t="shared" si="20"/>
        <v>0.18161272563416817</v>
      </c>
      <c r="Z45">
        <f>T45*Z44</f>
        <v>3.2987763293177525E-4</v>
      </c>
    </row>
    <row r="46" spans="1:26" x14ac:dyDescent="0.2">
      <c r="A46" s="28">
        <v>14</v>
      </c>
      <c r="B46" s="28">
        <v>44</v>
      </c>
      <c r="C46" s="28">
        <v>86</v>
      </c>
      <c r="D46" s="28">
        <v>80</v>
      </c>
      <c r="E46" s="28">
        <v>76</v>
      </c>
      <c r="F46" s="28">
        <v>72</v>
      </c>
      <c r="G46" s="28">
        <v>80</v>
      </c>
      <c r="H46" s="28">
        <v>56</v>
      </c>
      <c r="I46">
        <f t="shared" si="3"/>
        <v>2.3255813953488372E-2</v>
      </c>
      <c r="J46">
        <f t="shared" si="4"/>
        <v>0.1</v>
      </c>
      <c r="K46">
        <f t="shared" si="5"/>
        <v>0.15789473684210525</v>
      </c>
      <c r="L46">
        <f t="shared" si="6"/>
        <v>0.22222222222222221</v>
      </c>
      <c r="M46">
        <f t="shared" si="7"/>
        <v>0.1</v>
      </c>
      <c r="N46">
        <f t="shared" si="8"/>
        <v>0.5714285714285714</v>
      </c>
      <c r="O46">
        <f t="shared" si="9"/>
        <v>0.97674418604651159</v>
      </c>
      <c r="P46">
        <f t="shared" si="10"/>
        <v>0.9</v>
      </c>
      <c r="Q46">
        <f t="shared" si="11"/>
        <v>0.84210526315789469</v>
      </c>
      <c r="R46">
        <f t="shared" si="12"/>
        <v>0.77777777777777779</v>
      </c>
      <c r="S46">
        <f t="shared" si="13"/>
        <v>0.9</v>
      </c>
      <c r="T46">
        <f t="shared" si="14"/>
        <v>0.4285714285714286</v>
      </c>
      <c r="U46">
        <f t="shared" si="16"/>
        <v>0.97674418604651159</v>
      </c>
      <c r="V46">
        <f t="shared" si="17"/>
        <v>0.26440051339499882</v>
      </c>
      <c r="W46">
        <f t="shared" si="18"/>
        <v>0.23953567397179013</v>
      </c>
      <c r="X46">
        <f t="shared" si="19"/>
        <v>1.1434547609075993E-2</v>
      </c>
      <c r="Y46">
        <f t="shared" si="20"/>
        <v>0.16345145307075135</v>
      </c>
      <c r="Z46">
        <f>T46*Z45</f>
        <v>1.4137612839933226E-4</v>
      </c>
    </row>
    <row r="47" spans="1:26" x14ac:dyDescent="0.2">
      <c r="A47" s="28">
        <v>15</v>
      </c>
      <c r="B47" s="28">
        <v>45</v>
      </c>
      <c r="C47" s="28">
        <v>86</v>
      </c>
      <c r="D47" s="28">
        <v>80</v>
      </c>
      <c r="E47" s="28">
        <v>76</v>
      </c>
      <c r="F47" s="28">
        <v>72</v>
      </c>
      <c r="G47" s="28">
        <v>80</v>
      </c>
      <c r="H47" s="28">
        <v>56</v>
      </c>
      <c r="I47">
        <f t="shared" si="3"/>
        <v>2.3255813953488372E-2</v>
      </c>
      <c r="J47">
        <f t="shared" si="4"/>
        <v>0.1</v>
      </c>
      <c r="K47">
        <f t="shared" si="5"/>
        <v>0.15789473684210525</v>
      </c>
      <c r="L47">
        <f t="shared" si="6"/>
        <v>0.22222222222222221</v>
      </c>
      <c r="M47">
        <f t="shared" si="7"/>
        <v>0.1</v>
      </c>
      <c r="N47">
        <f t="shared" si="8"/>
        <v>0.5714285714285714</v>
      </c>
      <c r="O47">
        <f t="shared" si="9"/>
        <v>0.97674418604651159</v>
      </c>
      <c r="P47">
        <f t="shared" si="10"/>
        <v>0.9</v>
      </c>
      <c r="Q47">
        <f t="shared" si="11"/>
        <v>0.84210526315789469</v>
      </c>
      <c r="R47">
        <f t="shared" si="12"/>
        <v>0.77777777777777779</v>
      </c>
      <c r="S47">
        <f t="shared" si="13"/>
        <v>0.9</v>
      </c>
      <c r="T47">
        <f t="shared" si="14"/>
        <v>0.4285714285714286</v>
      </c>
      <c r="U47">
        <f t="shared" si="16"/>
        <v>0.95402920497566246</v>
      </c>
      <c r="V47">
        <f t="shared" si="17"/>
        <v>0.23796046205549895</v>
      </c>
      <c r="W47">
        <f t="shared" si="18"/>
        <v>0.201714251765718</v>
      </c>
      <c r="X47">
        <f t="shared" si="19"/>
        <v>8.8935370292813273E-3</v>
      </c>
      <c r="Y47">
        <f t="shared" si="20"/>
        <v>0.14710630776367623</v>
      </c>
      <c r="Z47">
        <f>T47*Z46</f>
        <v>6.0589769313999548E-5</v>
      </c>
    </row>
    <row r="48" spans="1:26" x14ac:dyDescent="0.2">
      <c r="A48" s="28">
        <v>16</v>
      </c>
      <c r="B48" s="28">
        <v>46</v>
      </c>
      <c r="C48" s="28">
        <v>86</v>
      </c>
      <c r="D48" s="28">
        <v>80</v>
      </c>
      <c r="E48" s="28">
        <v>76</v>
      </c>
      <c r="F48" s="28">
        <v>72</v>
      </c>
      <c r="G48" s="28">
        <v>80</v>
      </c>
      <c r="H48" s="28">
        <v>56</v>
      </c>
      <c r="I48">
        <f t="shared" si="3"/>
        <v>2.3255813953488372E-2</v>
      </c>
      <c r="J48">
        <f t="shared" si="4"/>
        <v>0.1</v>
      </c>
      <c r="K48">
        <f t="shared" si="5"/>
        <v>0.15789473684210525</v>
      </c>
      <c r="L48">
        <f t="shared" si="6"/>
        <v>0.22222222222222221</v>
      </c>
      <c r="M48">
        <f t="shared" si="7"/>
        <v>0.1</v>
      </c>
      <c r="N48">
        <f t="shared" si="8"/>
        <v>0.5714285714285714</v>
      </c>
      <c r="O48">
        <f t="shared" si="9"/>
        <v>0.97674418604651159</v>
      </c>
      <c r="P48">
        <f t="shared" si="10"/>
        <v>0.9</v>
      </c>
      <c r="Q48">
        <f t="shared" si="11"/>
        <v>0.84210526315789469</v>
      </c>
      <c r="R48">
        <f t="shared" si="12"/>
        <v>0.77777777777777779</v>
      </c>
      <c r="S48">
        <f t="shared" si="13"/>
        <v>0.9</v>
      </c>
      <c r="T48">
        <f t="shared" si="14"/>
        <v>0.4285714285714286</v>
      </c>
      <c r="U48">
        <f t="shared" si="16"/>
        <v>0.93184247927855401</v>
      </c>
      <c r="V48">
        <f t="shared" si="17"/>
        <v>0.21416441584994905</v>
      </c>
      <c r="W48">
        <f t="shared" si="18"/>
        <v>0.16986463306586777</v>
      </c>
      <c r="X48">
        <f t="shared" si="19"/>
        <v>6.9171954672188106E-3</v>
      </c>
      <c r="Y48">
        <f t="shared" si="20"/>
        <v>0.13239567698730861</v>
      </c>
      <c r="Z48">
        <f>T48*Z47</f>
        <v>2.5967043991714094E-5</v>
      </c>
    </row>
    <row r="49" spans="1:26" x14ac:dyDescent="0.2">
      <c r="A49" s="28">
        <v>17</v>
      </c>
      <c r="B49" s="28">
        <v>47</v>
      </c>
      <c r="C49" s="28">
        <v>86</v>
      </c>
      <c r="D49" s="28">
        <v>80</v>
      </c>
      <c r="E49" s="28">
        <v>76</v>
      </c>
      <c r="F49" s="28">
        <v>72</v>
      </c>
      <c r="G49" s="28">
        <v>80</v>
      </c>
      <c r="H49" s="28">
        <v>56</v>
      </c>
      <c r="I49">
        <f t="shared" si="3"/>
        <v>2.3255813953488372E-2</v>
      </c>
      <c r="J49">
        <f t="shared" si="4"/>
        <v>0.1</v>
      </c>
      <c r="K49">
        <f t="shared" si="5"/>
        <v>0.15789473684210525</v>
      </c>
      <c r="L49">
        <f t="shared" si="6"/>
        <v>0.22222222222222221</v>
      </c>
      <c r="M49">
        <f t="shared" si="7"/>
        <v>0.1</v>
      </c>
      <c r="N49">
        <f t="shared" si="8"/>
        <v>0.5714285714285714</v>
      </c>
      <c r="O49">
        <f t="shared" si="9"/>
        <v>0.97674418604651159</v>
      </c>
      <c r="P49">
        <f t="shared" si="10"/>
        <v>0.9</v>
      </c>
      <c r="Q49">
        <f t="shared" si="11"/>
        <v>0.84210526315789469</v>
      </c>
      <c r="R49">
        <f t="shared" si="12"/>
        <v>0.77777777777777779</v>
      </c>
      <c r="S49">
        <f t="shared" si="13"/>
        <v>0.9</v>
      </c>
      <c r="T49">
        <f t="shared" si="14"/>
        <v>0.4285714285714286</v>
      </c>
      <c r="U49">
        <f t="shared" si="16"/>
        <v>0.91017172394649459</v>
      </c>
      <c r="V49">
        <f t="shared" si="17"/>
        <v>0.19274797426495416</v>
      </c>
      <c r="W49">
        <f t="shared" si="18"/>
        <v>0.14304390152915181</v>
      </c>
      <c r="X49">
        <f t="shared" si="19"/>
        <v>5.3800409189479637E-3</v>
      </c>
      <c r="Y49">
        <f t="shared" si="20"/>
        <v>0.11915610928857776</v>
      </c>
      <c r="Z49">
        <f>T49*Z48</f>
        <v>1.1128733139306041E-5</v>
      </c>
    </row>
    <row r="50" spans="1:26" x14ac:dyDescent="0.2">
      <c r="A50" s="28">
        <v>18</v>
      </c>
      <c r="B50" s="28">
        <v>48</v>
      </c>
      <c r="C50" s="28">
        <v>86</v>
      </c>
      <c r="D50" s="28">
        <v>80</v>
      </c>
      <c r="E50" s="28">
        <v>76</v>
      </c>
      <c r="F50" s="28">
        <v>72</v>
      </c>
      <c r="G50" s="28">
        <v>80</v>
      </c>
      <c r="H50" s="28">
        <v>56</v>
      </c>
      <c r="I50">
        <f t="shared" si="3"/>
        <v>2.3255813953488372E-2</v>
      </c>
      <c r="J50">
        <f t="shared" si="4"/>
        <v>0.1</v>
      </c>
      <c r="K50">
        <f t="shared" si="5"/>
        <v>0.15789473684210525</v>
      </c>
      <c r="L50">
        <f t="shared" si="6"/>
        <v>0.22222222222222221</v>
      </c>
      <c r="M50">
        <f t="shared" si="7"/>
        <v>0.1</v>
      </c>
      <c r="N50">
        <f t="shared" si="8"/>
        <v>0.5714285714285714</v>
      </c>
      <c r="O50">
        <f t="shared" si="9"/>
        <v>0.97674418604651159</v>
      </c>
      <c r="P50">
        <f t="shared" si="10"/>
        <v>0.9</v>
      </c>
      <c r="Q50">
        <f t="shared" si="11"/>
        <v>0.84210526315789469</v>
      </c>
      <c r="R50">
        <f t="shared" si="12"/>
        <v>0.77777777777777779</v>
      </c>
      <c r="S50">
        <f t="shared" si="13"/>
        <v>0.9</v>
      </c>
      <c r="T50">
        <f t="shared" si="14"/>
        <v>0.4285714285714286</v>
      </c>
      <c r="U50">
        <f t="shared" si="16"/>
        <v>0.88900493966866911</v>
      </c>
      <c r="V50">
        <f t="shared" si="17"/>
        <v>0.17347317683845875</v>
      </c>
      <c r="W50">
        <f t="shared" si="18"/>
        <v>0.12045802234033835</v>
      </c>
      <c r="X50">
        <f t="shared" si="19"/>
        <v>4.1844762702928605E-3</v>
      </c>
      <c r="Y50">
        <f t="shared" si="20"/>
        <v>0.10724049835971998</v>
      </c>
      <c r="Z50">
        <f>T50*Z49</f>
        <v>4.7694570597025893E-6</v>
      </c>
    </row>
    <row r="51" spans="1:26" x14ac:dyDescent="0.2">
      <c r="A51" s="28">
        <v>19</v>
      </c>
      <c r="B51" s="28">
        <v>49</v>
      </c>
      <c r="C51" s="28">
        <v>86</v>
      </c>
      <c r="D51" s="28">
        <v>80</v>
      </c>
      <c r="E51" s="28">
        <v>76</v>
      </c>
      <c r="F51" s="28">
        <v>72</v>
      </c>
      <c r="G51" s="28">
        <v>80</v>
      </c>
      <c r="H51" s="28">
        <v>56</v>
      </c>
      <c r="I51">
        <f t="shared" si="3"/>
        <v>2.3255813953488372E-2</v>
      </c>
      <c r="J51">
        <f t="shared" si="4"/>
        <v>0.1</v>
      </c>
      <c r="K51">
        <f t="shared" si="5"/>
        <v>0.15789473684210525</v>
      </c>
      <c r="L51">
        <f t="shared" si="6"/>
        <v>0.22222222222222221</v>
      </c>
      <c r="M51">
        <f t="shared" si="7"/>
        <v>0.1</v>
      </c>
      <c r="N51">
        <f t="shared" si="8"/>
        <v>0.5714285714285714</v>
      </c>
      <c r="O51">
        <f t="shared" si="9"/>
        <v>0.97674418604651159</v>
      </c>
      <c r="P51">
        <f t="shared" si="10"/>
        <v>0.9</v>
      </c>
      <c r="Q51">
        <f t="shared" si="11"/>
        <v>0.84210526315789469</v>
      </c>
      <c r="R51">
        <f t="shared" si="12"/>
        <v>0.77777777777777779</v>
      </c>
      <c r="S51">
        <f t="shared" si="13"/>
        <v>0.9</v>
      </c>
      <c r="T51">
        <f t="shared" si="14"/>
        <v>0.4285714285714286</v>
      </c>
      <c r="U51">
        <f t="shared" si="16"/>
        <v>0.86833040618800239</v>
      </c>
      <c r="V51">
        <f t="shared" si="17"/>
        <v>0.15612585915461288</v>
      </c>
      <c r="W51">
        <f t="shared" si="18"/>
        <v>0.10143833460239018</v>
      </c>
      <c r="X51">
        <f t="shared" si="19"/>
        <v>3.254592654672225E-3</v>
      </c>
      <c r="Y51">
        <f t="shared" si="20"/>
        <v>9.651644852374798E-2</v>
      </c>
      <c r="Z51">
        <f>T51*Z50</f>
        <v>2.0440530255868242E-6</v>
      </c>
    </row>
    <row r="52" spans="1:26" x14ac:dyDescent="0.2">
      <c r="A52" s="28">
        <v>20</v>
      </c>
      <c r="B52" s="28">
        <v>50</v>
      </c>
      <c r="C52" s="28">
        <v>86</v>
      </c>
      <c r="D52" s="28">
        <v>80</v>
      </c>
      <c r="E52" s="28">
        <v>76</v>
      </c>
      <c r="F52" s="28">
        <v>72</v>
      </c>
      <c r="G52" s="28">
        <v>80</v>
      </c>
      <c r="H52" s="28">
        <v>56</v>
      </c>
      <c r="I52">
        <f t="shared" si="3"/>
        <v>2.3255813953488372E-2</v>
      </c>
      <c r="J52">
        <f t="shared" si="4"/>
        <v>0.1</v>
      </c>
      <c r="K52">
        <f t="shared" si="5"/>
        <v>0.15789473684210525</v>
      </c>
      <c r="L52">
        <f t="shared" si="6"/>
        <v>0.22222222222222221</v>
      </c>
      <c r="M52">
        <f t="shared" si="7"/>
        <v>0.1</v>
      </c>
      <c r="N52">
        <f t="shared" si="8"/>
        <v>0.5714285714285714</v>
      </c>
      <c r="O52">
        <f t="shared" si="9"/>
        <v>0.97674418604651159</v>
      </c>
      <c r="P52">
        <f t="shared" si="10"/>
        <v>0.9</v>
      </c>
      <c r="Q52">
        <f t="shared" si="11"/>
        <v>0.84210526315789469</v>
      </c>
      <c r="R52">
        <f t="shared" si="12"/>
        <v>0.77777777777777779</v>
      </c>
      <c r="S52">
        <f t="shared" si="13"/>
        <v>0.9</v>
      </c>
      <c r="T52">
        <f t="shared" si="14"/>
        <v>0.4285714285714286</v>
      </c>
      <c r="U52">
        <f t="shared" si="16"/>
        <v>0.84813667581153718</v>
      </c>
      <c r="V52">
        <f t="shared" si="17"/>
        <v>0.14051327323915161</v>
      </c>
      <c r="W52">
        <f t="shared" si="18"/>
        <v>8.5421755454644366E-2</v>
      </c>
      <c r="X52">
        <f t="shared" si="19"/>
        <v>2.5313498425228419E-3</v>
      </c>
      <c r="Y52">
        <f t="shared" si="20"/>
        <v>8.6864803671373184E-2</v>
      </c>
      <c r="Z52">
        <f>T52*Z51</f>
        <v>8.7602272525149617E-7</v>
      </c>
    </row>
    <row r="53" spans="1:26" x14ac:dyDescent="0.2">
      <c r="A53" s="28">
        <v>21</v>
      </c>
      <c r="B53" s="28">
        <v>51</v>
      </c>
      <c r="C53" s="28">
        <v>86</v>
      </c>
      <c r="D53" s="28">
        <v>80</v>
      </c>
      <c r="E53" s="28">
        <v>76</v>
      </c>
      <c r="F53" s="28">
        <v>72</v>
      </c>
      <c r="G53" s="28">
        <v>80</v>
      </c>
      <c r="H53" s="28">
        <v>56</v>
      </c>
      <c r="I53">
        <f t="shared" si="3"/>
        <v>2.3255813953488372E-2</v>
      </c>
      <c r="J53">
        <f t="shared" si="4"/>
        <v>0.1</v>
      </c>
      <c r="K53">
        <f t="shared" si="5"/>
        <v>0.15789473684210525</v>
      </c>
      <c r="L53">
        <f t="shared" si="6"/>
        <v>0.22222222222222221</v>
      </c>
      <c r="M53">
        <f t="shared" si="7"/>
        <v>0.1</v>
      </c>
      <c r="N53">
        <f t="shared" si="8"/>
        <v>0.5714285714285714</v>
      </c>
      <c r="O53">
        <f t="shared" si="9"/>
        <v>0.97674418604651159</v>
      </c>
      <c r="P53">
        <f t="shared" si="10"/>
        <v>0.9</v>
      </c>
      <c r="Q53">
        <f t="shared" si="11"/>
        <v>0.84210526315789469</v>
      </c>
      <c r="R53">
        <f t="shared" si="12"/>
        <v>0.77777777777777779</v>
      </c>
      <c r="S53">
        <f t="shared" si="13"/>
        <v>0.9</v>
      </c>
      <c r="T53">
        <f t="shared" si="14"/>
        <v>0.4285714285714286</v>
      </c>
      <c r="U53">
        <f t="shared" si="16"/>
        <v>0.82841256707173394</v>
      </c>
      <c r="V53">
        <f t="shared" si="17"/>
        <v>0.12646194591523646</v>
      </c>
      <c r="W53">
        <f t="shared" si="18"/>
        <v>7.1934109856542625E-2</v>
      </c>
      <c r="X53">
        <f t="shared" si="19"/>
        <v>1.9688276552955438E-3</v>
      </c>
      <c r="Y53">
        <f t="shared" si="20"/>
        <v>7.8178323304235867E-2</v>
      </c>
      <c r="Z53">
        <f>T53*Z52</f>
        <v>3.7543831082206982E-7</v>
      </c>
    </row>
    <row r="54" spans="1:26" x14ac:dyDescent="0.2">
      <c r="A54" s="28">
        <v>22</v>
      </c>
      <c r="B54" s="28">
        <v>52</v>
      </c>
      <c r="C54" s="28">
        <v>86</v>
      </c>
      <c r="D54" s="28">
        <v>80</v>
      </c>
      <c r="E54" s="28">
        <v>76</v>
      </c>
      <c r="F54" s="28">
        <v>72</v>
      </c>
      <c r="G54" s="28">
        <v>80</v>
      </c>
      <c r="H54" s="28">
        <v>56</v>
      </c>
      <c r="I54">
        <f t="shared" si="3"/>
        <v>2.3255813953488372E-2</v>
      </c>
      <c r="J54">
        <f t="shared" si="4"/>
        <v>0.1</v>
      </c>
      <c r="K54">
        <f t="shared" si="5"/>
        <v>0.15789473684210525</v>
      </c>
      <c r="L54">
        <f t="shared" si="6"/>
        <v>0.22222222222222221</v>
      </c>
      <c r="M54">
        <f t="shared" si="7"/>
        <v>0.1</v>
      </c>
      <c r="N54">
        <f t="shared" si="8"/>
        <v>0.5714285714285714</v>
      </c>
      <c r="O54">
        <f t="shared" si="9"/>
        <v>0.97674418604651159</v>
      </c>
      <c r="P54">
        <f t="shared" si="10"/>
        <v>0.9</v>
      </c>
      <c r="Q54">
        <f t="shared" si="11"/>
        <v>0.84210526315789469</v>
      </c>
      <c r="R54">
        <f t="shared" si="12"/>
        <v>0.77777777777777779</v>
      </c>
      <c r="S54">
        <f t="shared" si="13"/>
        <v>0.9</v>
      </c>
      <c r="T54">
        <f t="shared" si="14"/>
        <v>0.4285714285714286</v>
      </c>
      <c r="U54">
        <f t="shared" si="16"/>
        <v>0.80914715853518193</v>
      </c>
      <c r="V54">
        <f t="shared" si="17"/>
        <v>0.11381575132371281</v>
      </c>
      <c r="W54">
        <f t="shared" si="18"/>
        <v>6.0576092510772735E-2</v>
      </c>
      <c r="X54">
        <f t="shared" si="19"/>
        <v>1.5313103985632008E-3</v>
      </c>
      <c r="Y54">
        <f t="shared" si="20"/>
        <v>7.0360490973812279E-2</v>
      </c>
      <c r="Z54">
        <f>T54*Z53</f>
        <v>1.6090213320945852E-7</v>
      </c>
    </row>
    <row r="55" spans="1:26" x14ac:dyDescent="0.2">
      <c r="A55" s="28">
        <v>23</v>
      </c>
      <c r="B55" s="28">
        <v>53</v>
      </c>
      <c r="C55" s="28">
        <v>86</v>
      </c>
      <c r="D55" s="28">
        <v>80</v>
      </c>
      <c r="E55" s="28">
        <v>76</v>
      </c>
      <c r="F55" s="28">
        <v>72</v>
      </c>
      <c r="G55" s="28">
        <v>80</v>
      </c>
      <c r="H55" s="28">
        <v>56</v>
      </c>
      <c r="I55">
        <f t="shared" si="3"/>
        <v>2.3255813953488372E-2</v>
      </c>
      <c r="J55">
        <f t="shared" si="4"/>
        <v>0.1</v>
      </c>
      <c r="K55">
        <f t="shared" si="5"/>
        <v>0.15789473684210525</v>
      </c>
      <c r="L55">
        <f t="shared" si="6"/>
        <v>0.22222222222222221</v>
      </c>
      <c r="M55">
        <f t="shared" si="7"/>
        <v>0.1</v>
      </c>
      <c r="N55">
        <f t="shared" si="8"/>
        <v>0.5714285714285714</v>
      </c>
      <c r="O55">
        <f t="shared" si="9"/>
        <v>0.97674418604651159</v>
      </c>
      <c r="P55">
        <f t="shared" si="10"/>
        <v>0.9</v>
      </c>
      <c r="Q55">
        <f t="shared" si="11"/>
        <v>0.84210526315789469</v>
      </c>
      <c r="R55">
        <f t="shared" si="12"/>
        <v>0.77777777777777779</v>
      </c>
      <c r="S55">
        <f t="shared" si="13"/>
        <v>0.9</v>
      </c>
      <c r="T55">
        <f t="shared" si="14"/>
        <v>0.4285714285714286</v>
      </c>
      <c r="U55">
        <f t="shared" si="16"/>
        <v>0.79032978275529397</v>
      </c>
      <c r="V55">
        <f t="shared" si="17"/>
        <v>0.10243417619134153</v>
      </c>
      <c r="W55">
        <f t="shared" si="18"/>
        <v>5.1011446324861244E-2</v>
      </c>
      <c r="X55">
        <f t="shared" si="19"/>
        <v>1.1910191988824894E-3</v>
      </c>
      <c r="Y55">
        <f t="shared" si="20"/>
        <v>6.3324441876431048E-2</v>
      </c>
      <c r="Z55">
        <f>T55*Z54</f>
        <v>6.8958057089767939E-8</v>
      </c>
    </row>
    <row r="56" spans="1:26" x14ac:dyDescent="0.2">
      <c r="A56" s="28">
        <v>24</v>
      </c>
      <c r="B56" s="28">
        <v>54</v>
      </c>
      <c r="C56" s="28">
        <v>86</v>
      </c>
      <c r="D56" s="28">
        <v>80</v>
      </c>
      <c r="E56" s="28">
        <v>76</v>
      </c>
      <c r="F56" s="28">
        <v>72</v>
      </c>
      <c r="G56" s="28">
        <v>80</v>
      </c>
      <c r="H56" s="28">
        <v>56</v>
      </c>
      <c r="I56">
        <f t="shared" si="3"/>
        <v>2.3255813953488372E-2</v>
      </c>
      <c r="J56">
        <f t="shared" si="4"/>
        <v>0.1</v>
      </c>
      <c r="K56">
        <f t="shared" si="5"/>
        <v>0.15789473684210525</v>
      </c>
      <c r="L56">
        <f t="shared" si="6"/>
        <v>0.22222222222222221</v>
      </c>
      <c r="M56">
        <f t="shared" si="7"/>
        <v>0.1</v>
      </c>
      <c r="N56">
        <f t="shared" si="8"/>
        <v>0.5714285714285714</v>
      </c>
      <c r="O56">
        <f t="shared" si="9"/>
        <v>0.97674418604651159</v>
      </c>
      <c r="P56">
        <f t="shared" si="10"/>
        <v>0.9</v>
      </c>
      <c r="Q56">
        <f t="shared" si="11"/>
        <v>0.84210526315789469</v>
      </c>
      <c r="R56">
        <f t="shared" si="12"/>
        <v>0.77777777777777779</v>
      </c>
      <c r="S56">
        <f t="shared" si="13"/>
        <v>0.9</v>
      </c>
      <c r="T56">
        <f t="shared" si="14"/>
        <v>0.4285714285714286</v>
      </c>
      <c r="U56">
        <f t="shared" si="16"/>
        <v>0.77195002036563598</v>
      </c>
      <c r="V56">
        <f t="shared" si="17"/>
        <v>9.2190758572207376E-2</v>
      </c>
      <c r="W56">
        <f t="shared" si="18"/>
        <v>4.2957007431462101E-2</v>
      </c>
      <c r="X56">
        <f t="shared" si="19"/>
        <v>9.2634826579749178E-4</v>
      </c>
      <c r="Y56">
        <f t="shared" si="20"/>
        <v>5.6991997688787946E-2</v>
      </c>
      <c r="Z56">
        <f>T56*Z55</f>
        <v>2.9553453038471977E-8</v>
      </c>
    </row>
    <row r="57" spans="1:26" x14ac:dyDescent="0.2">
      <c r="A57" s="28">
        <v>25</v>
      </c>
      <c r="B57" s="28">
        <v>55</v>
      </c>
      <c r="C57" s="28">
        <v>86</v>
      </c>
      <c r="D57" s="28">
        <v>80</v>
      </c>
      <c r="E57" s="28">
        <v>76</v>
      </c>
      <c r="F57" s="28">
        <v>72</v>
      </c>
      <c r="G57" s="28">
        <v>80</v>
      </c>
      <c r="H57" s="28">
        <v>56</v>
      </c>
      <c r="I57">
        <f t="shared" si="3"/>
        <v>2.3255813953488372E-2</v>
      </c>
      <c r="J57">
        <f t="shared" si="4"/>
        <v>0.1</v>
      </c>
      <c r="K57">
        <f t="shared" si="5"/>
        <v>0.15789473684210525</v>
      </c>
      <c r="L57">
        <f t="shared" si="6"/>
        <v>0.22222222222222221</v>
      </c>
      <c r="M57">
        <f t="shared" si="7"/>
        <v>0.1</v>
      </c>
      <c r="N57">
        <f t="shared" si="8"/>
        <v>0.5714285714285714</v>
      </c>
      <c r="O57">
        <f t="shared" si="9"/>
        <v>0.97674418604651159</v>
      </c>
      <c r="P57">
        <f t="shared" si="10"/>
        <v>0.9</v>
      </c>
      <c r="Q57">
        <f t="shared" si="11"/>
        <v>0.84210526315789469</v>
      </c>
      <c r="R57">
        <f t="shared" si="12"/>
        <v>0.77777777777777779</v>
      </c>
      <c r="S57">
        <f t="shared" si="13"/>
        <v>0.9</v>
      </c>
      <c r="T57">
        <f t="shared" si="14"/>
        <v>0.4285714285714286</v>
      </c>
      <c r="U57">
        <f t="shared" si="16"/>
        <v>0.75399769431062114</v>
      </c>
      <c r="V57">
        <f t="shared" si="17"/>
        <v>8.2971682714986644E-2</v>
      </c>
      <c r="W57">
        <f t="shared" si="18"/>
        <v>3.6174322047547031E-2</v>
      </c>
      <c r="X57">
        <f t="shared" si="19"/>
        <v>7.2049309562027136E-4</v>
      </c>
      <c r="Y57">
        <f t="shared" si="20"/>
        <v>5.129279791990915E-2</v>
      </c>
      <c r="Z57">
        <f>T57*Z56</f>
        <v>1.2665765587916563E-8</v>
      </c>
    </row>
    <row r="58" spans="1:26" x14ac:dyDescent="0.2">
      <c r="A58" s="28">
        <v>26</v>
      </c>
      <c r="B58" s="28">
        <v>56</v>
      </c>
      <c r="C58" s="28">
        <v>86</v>
      </c>
      <c r="D58" s="28">
        <v>80</v>
      </c>
      <c r="E58" s="28">
        <v>76</v>
      </c>
      <c r="F58" s="28">
        <v>72</v>
      </c>
      <c r="G58" s="28">
        <v>80</v>
      </c>
      <c r="H58" s="28">
        <v>56</v>
      </c>
      <c r="I58">
        <f t="shared" si="3"/>
        <v>2.3255813953488372E-2</v>
      </c>
      <c r="J58">
        <f t="shared" si="4"/>
        <v>0.1</v>
      </c>
      <c r="K58">
        <f t="shared" si="5"/>
        <v>0.15789473684210525</v>
      </c>
      <c r="L58">
        <f t="shared" si="6"/>
        <v>0.22222222222222221</v>
      </c>
      <c r="M58">
        <f t="shared" si="7"/>
        <v>0.1</v>
      </c>
      <c r="N58">
        <f t="shared" si="8"/>
        <v>0.5714285714285714</v>
      </c>
      <c r="O58">
        <f t="shared" si="9"/>
        <v>0.97674418604651159</v>
      </c>
      <c r="P58">
        <f t="shared" si="10"/>
        <v>0.9</v>
      </c>
      <c r="Q58">
        <f t="shared" si="11"/>
        <v>0.84210526315789469</v>
      </c>
      <c r="R58">
        <f t="shared" si="12"/>
        <v>0.77777777777777779</v>
      </c>
      <c r="S58">
        <f t="shared" si="13"/>
        <v>0.9</v>
      </c>
      <c r="T58">
        <f t="shared" si="14"/>
        <v>0.4285714285714286</v>
      </c>
      <c r="U58">
        <f t="shared" si="16"/>
        <v>0.7364628642103741</v>
      </c>
      <c r="V58">
        <f t="shared" si="17"/>
        <v>7.467451444348798E-2</v>
      </c>
      <c r="W58">
        <f t="shared" si="18"/>
        <v>3.0462586987408023E-2</v>
      </c>
      <c r="X58">
        <f t="shared" si="19"/>
        <v>5.6038351881576662E-4</v>
      </c>
      <c r="Y58">
        <f t="shared" si="20"/>
        <v>4.6163518127918239E-2</v>
      </c>
      <c r="Z58">
        <f>T58*Z57</f>
        <v>5.4281852519642415E-9</v>
      </c>
    </row>
    <row r="59" spans="1:26" x14ac:dyDescent="0.2">
      <c r="A59" s="28">
        <v>27</v>
      </c>
      <c r="B59" s="28">
        <v>57</v>
      </c>
      <c r="C59" s="28">
        <v>86</v>
      </c>
      <c r="D59" s="28">
        <v>80</v>
      </c>
      <c r="E59" s="28">
        <v>76</v>
      </c>
      <c r="F59" s="28">
        <v>72</v>
      </c>
      <c r="G59" s="28">
        <v>80</v>
      </c>
      <c r="H59" s="28">
        <v>56</v>
      </c>
      <c r="I59">
        <f t="shared" si="3"/>
        <v>2.3255813953488372E-2</v>
      </c>
      <c r="J59">
        <f t="shared" si="4"/>
        <v>0.1</v>
      </c>
      <c r="K59">
        <f t="shared" si="5"/>
        <v>0.15789473684210525</v>
      </c>
      <c r="L59">
        <f t="shared" si="6"/>
        <v>0.22222222222222221</v>
      </c>
      <c r="M59">
        <f t="shared" si="7"/>
        <v>0.1</v>
      </c>
      <c r="N59">
        <f t="shared" si="8"/>
        <v>0.5714285714285714</v>
      </c>
      <c r="O59">
        <f t="shared" si="9"/>
        <v>0.97674418604651159</v>
      </c>
      <c r="P59">
        <f t="shared" si="10"/>
        <v>0.9</v>
      </c>
      <c r="Q59">
        <f t="shared" si="11"/>
        <v>0.84210526315789469</v>
      </c>
      <c r="R59">
        <f t="shared" si="12"/>
        <v>0.77777777777777779</v>
      </c>
      <c r="S59">
        <f t="shared" si="13"/>
        <v>0.9</v>
      </c>
      <c r="T59">
        <f t="shared" si="14"/>
        <v>0.4285714285714286</v>
      </c>
      <c r="U59">
        <f t="shared" si="16"/>
        <v>0.71933582085664449</v>
      </c>
      <c r="V59">
        <f t="shared" si="17"/>
        <v>6.7207062999139186E-2</v>
      </c>
      <c r="W59">
        <f t="shared" si="18"/>
        <v>2.5652704831501491E-2</v>
      </c>
      <c r="X59">
        <f t="shared" si="19"/>
        <v>4.3585384796781851E-4</v>
      </c>
      <c r="Y59">
        <f t="shared" si="20"/>
        <v>4.1547166315126415E-2</v>
      </c>
      <c r="Z59">
        <f>T59*Z58</f>
        <v>2.326365107984675E-9</v>
      </c>
    </row>
    <row r="60" spans="1:26" x14ac:dyDescent="0.2">
      <c r="A60" s="28">
        <v>28</v>
      </c>
      <c r="B60" s="28">
        <v>58</v>
      </c>
      <c r="C60" s="28">
        <v>86</v>
      </c>
      <c r="D60" s="28">
        <v>80</v>
      </c>
      <c r="E60" s="28">
        <v>76</v>
      </c>
      <c r="F60" s="28">
        <v>72</v>
      </c>
      <c r="G60" s="28">
        <v>80</v>
      </c>
      <c r="H60" s="28">
        <v>56</v>
      </c>
      <c r="I60">
        <f t="shared" si="3"/>
        <v>2.3255813953488372E-2</v>
      </c>
      <c r="J60">
        <f t="shared" si="4"/>
        <v>0.1</v>
      </c>
      <c r="K60">
        <f t="shared" si="5"/>
        <v>0.15789473684210525</v>
      </c>
      <c r="L60">
        <f t="shared" si="6"/>
        <v>0.22222222222222221</v>
      </c>
      <c r="M60">
        <f t="shared" si="7"/>
        <v>0.1</v>
      </c>
      <c r="N60">
        <f t="shared" si="8"/>
        <v>0.5714285714285714</v>
      </c>
      <c r="O60">
        <f t="shared" si="9"/>
        <v>0.97674418604651159</v>
      </c>
      <c r="P60">
        <f t="shared" si="10"/>
        <v>0.9</v>
      </c>
      <c r="Q60">
        <f t="shared" si="11"/>
        <v>0.84210526315789469</v>
      </c>
      <c r="R60">
        <f t="shared" si="12"/>
        <v>0.77777777777777779</v>
      </c>
      <c r="S60">
        <f t="shared" si="13"/>
        <v>0.9</v>
      </c>
      <c r="T60">
        <f t="shared" si="14"/>
        <v>0.4285714285714286</v>
      </c>
      <c r="U60">
        <f t="shared" si="16"/>
        <v>0.70260708083672252</v>
      </c>
      <c r="V60">
        <f t="shared" si="17"/>
        <v>6.0486356699225266E-2</v>
      </c>
      <c r="W60">
        <f t="shared" si="18"/>
        <v>2.160227775284336E-2</v>
      </c>
      <c r="X60">
        <f t="shared" si="19"/>
        <v>3.3899743730830329E-4</v>
      </c>
      <c r="Y60">
        <f t="shared" si="20"/>
        <v>3.7392449683613771E-2</v>
      </c>
      <c r="Z60">
        <f>T60*Z59</f>
        <v>9.9701361770771796E-10</v>
      </c>
    </row>
    <row r="61" spans="1:26" x14ac:dyDescent="0.2">
      <c r="A61" s="28">
        <v>29</v>
      </c>
      <c r="B61" s="28">
        <v>59</v>
      </c>
      <c r="C61" s="28">
        <v>86</v>
      </c>
      <c r="D61" s="28">
        <v>80</v>
      </c>
      <c r="E61" s="28">
        <v>76</v>
      </c>
      <c r="F61" s="28">
        <v>72</v>
      </c>
      <c r="G61" s="28">
        <v>80</v>
      </c>
      <c r="H61" s="28">
        <v>56</v>
      </c>
      <c r="I61">
        <f t="shared" si="3"/>
        <v>2.3255813953488372E-2</v>
      </c>
      <c r="J61">
        <f t="shared" si="4"/>
        <v>0.1</v>
      </c>
      <c r="K61">
        <f t="shared" si="5"/>
        <v>0.15789473684210525</v>
      </c>
      <c r="L61">
        <f t="shared" si="6"/>
        <v>0.22222222222222221</v>
      </c>
      <c r="M61">
        <f t="shared" si="7"/>
        <v>0.1</v>
      </c>
      <c r="N61">
        <f t="shared" si="8"/>
        <v>0.5714285714285714</v>
      </c>
      <c r="O61">
        <f t="shared" si="9"/>
        <v>0.97674418604651159</v>
      </c>
      <c r="P61">
        <f t="shared" si="10"/>
        <v>0.9</v>
      </c>
      <c r="Q61">
        <f t="shared" si="11"/>
        <v>0.84210526315789469</v>
      </c>
      <c r="R61">
        <f t="shared" si="12"/>
        <v>0.77777777777777779</v>
      </c>
      <c r="S61">
        <f t="shared" si="13"/>
        <v>0.9</v>
      </c>
      <c r="T61">
        <f t="shared" si="14"/>
        <v>0.4285714285714286</v>
      </c>
      <c r="U61">
        <f t="shared" si="16"/>
        <v>0.68626738128238007</v>
      </c>
      <c r="V61">
        <f t="shared" si="17"/>
        <v>5.4437721029302742E-2</v>
      </c>
      <c r="W61">
        <f t="shared" si="18"/>
        <v>1.8191391791868093E-2</v>
      </c>
      <c r="X61">
        <f t="shared" si="19"/>
        <v>2.6366467346201368E-4</v>
      </c>
      <c r="Y61">
        <f t="shared" si="20"/>
        <v>3.3653204715252398E-2</v>
      </c>
      <c r="Z61">
        <f>T61*Z60</f>
        <v>4.2729155044616489E-10</v>
      </c>
    </row>
    <row r="62" spans="1:26" x14ac:dyDescent="0.2">
      <c r="A62" s="28">
        <v>30</v>
      </c>
      <c r="B62" s="28">
        <v>60</v>
      </c>
      <c r="C62" s="28">
        <v>83</v>
      </c>
      <c r="D62" s="28">
        <v>80</v>
      </c>
      <c r="E62" s="28">
        <v>75</v>
      </c>
      <c r="F62" s="28">
        <v>68</v>
      </c>
      <c r="G62" s="28">
        <v>80</v>
      </c>
      <c r="H62" s="28">
        <v>56</v>
      </c>
      <c r="I62">
        <f t="shared" si="3"/>
        <v>6.0240963855421686E-2</v>
      </c>
      <c r="J62">
        <f>($C$2-D62)/D62</f>
        <v>0.1</v>
      </c>
      <c r="K62">
        <f t="shared" si="5"/>
        <v>0.17333333333333334</v>
      </c>
      <c r="L62">
        <f t="shared" si="6"/>
        <v>0.29411764705882354</v>
      </c>
      <c r="M62">
        <f t="shared" si="7"/>
        <v>0.1</v>
      </c>
      <c r="N62">
        <f t="shared" si="8"/>
        <v>0.5714285714285714</v>
      </c>
      <c r="O62">
        <f t="shared" si="9"/>
        <v>0.93975903614457834</v>
      </c>
      <c r="P62">
        <f t="shared" si="10"/>
        <v>0.9</v>
      </c>
      <c r="Q62">
        <f t="shared" si="11"/>
        <v>0.82666666666666666</v>
      </c>
      <c r="R62">
        <f t="shared" si="12"/>
        <v>0.70588235294117641</v>
      </c>
      <c r="S62">
        <f t="shared" si="13"/>
        <v>0.9</v>
      </c>
      <c r="T62">
        <f t="shared" si="14"/>
        <v>0.4285714285714286</v>
      </c>
      <c r="U62" s="27">
        <f t="shared" si="16"/>
        <v>0.6449259727713933</v>
      </c>
      <c r="V62" s="27">
        <f t="shared" si="17"/>
        <v>4.8993948926372467E-2</v>
      </c>
      <c r="W62" s="27">
        <f t="shared" si="18"/>
        <v>1.5038217214610957E-2</v>
      </c>
      <c r="X62" s="27">
        <f t="shared" si="19"/>
        <v>1.8611624009083318E-4</v>
      </c>
      <c r="Y62" s="27">
        <f t="shared" si="20"/>
        <v>3.0287884243727158E-2</v>
      </c>
      <c r="Z62" s="27">
        <f>T62*Z61</f>
        <v>1.8312495019121354E-10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A332-98B2-9944-94B1-023C34C4C637}">
  <dimension ref="A1:F51"/>
  <sheetViews>
    <sheetView tabSelected="1" topLeftCell="A21" zoomScale="110" zoomScaleNormal="110" workbookViewId="0">
      <selection activeCell="F53" sqref="F53"/>
    </sheetView>
  </sheetViews>
  <sheetFormatPr baseColWidth="10" defaultRowHeight="16" x14ac:dyDescent="0.2"/>
  <cols>
    <col min="1" max="1" width="16.5" customWidth="1"/>
  </cols>
  <sheetData>
    <row r="1" spans="1:6" x14ac:dyDescent="0.2">
      <c r="A1" t="s">
        <v>203</v>
      </c>
    </row>
    <row r="2" spans="1:6" x14ac:dyDescent="0.2">
      <c r="A2" t="s">
        <v>204</v>
      </c>
    </row>
    <row r="4" spans="1:6" ht="17" thickBot="1" x14ac:dyDescent="0.25">
      <c r="A4" s="21"/>
      <c r="B4" s="30" t="s">
        <v>209</v>
      </c>
      <c r="C4" s="30" t="s">
        <v>210</v>
      </c>
      <c r="D4" s="30" t="s">
        <v>211</v>
      </c>
      <c r="E4" s="30" t="s">
        <v>212</v>
      </c>
      <c r="F4" s="30" t="s">
        <v>213</v>
      </c>
    </row>
    <row r="5" spans="1:6" x14ac:dyDescent="0.2">
      <c r="A5" s="31" t="s">
        <v>206</v>
      </c>
      <c r="B5" s="21">
        <v>165</v>
      </c>
      <c r="C5" s="21">
        <v>14</v>
      </c>
      <c r="D5" s="21">
        <v>20.7</v>
      </c>
      <c r="E5" s="21">
        <v>2.19</v>
      </c>
      <c r="F5" s="21">
        <v>3.41</v>
      </c>
    </row>
    <row r="6" spans="1:6" x14ac:dyDescent="0.2">
      <c r="A6" s="31" t="s">
        <v>207</v>
      </c>
      <c r="B6" s="21">
        <v>167</v>
      </c>
      <c r="C6" s="21">
        <v>36</v>
      </c>
      <c r="D6" s="21">
        <v>19.399999999999999</v>
      </c>
      <c r="E6" s="21">
        <v>14.3</v>
      </c>
      <c r="F6" s="21">
        <v>21.56</v>
      </c>
    </row>
    <row r="7" spans="1:6" x14ac:dyDescent="0.2">
      <c r="A7" s="31" t="s">
        <v>208</v>
      </c>
      <c r="B7" s="21">
        <v>171</v>
      </c>
      <c r="C7" s="21">
        <v>11</v>
      </c>
      <c r="D7" s="21">
        <v>20.9</v>
      </c>
      <c r="E7" s="21">
        <v>4.6900000000000004</v>
      </c>
      <c r="F7" s="21">
        <v>7.32</v>
      </c>
    </row>
    <row r="8" spans="1:6" x14ac:dyDescent="0.2">
      <c r="A8" s="32"/>
    </row>
    <row r="9" spans="1:6" x14ac:dyDescent="0.2">
      <c r="A9" t="s">
        <v>205</v>
      </c>
    </row>
    <row r="12" spans="1:6" x14ac:dyDescent="0.2">
      <c r="A12" t="s">
        <v>203</v>
      </c>
    </row>
    <row r="13" spans="1:6" x14ac:dyDescent="0.2">
      <c r="A13" t="s">
        <v>214</v>
      </c>
    </row>
    <row r="15" spans="1:6" ht="17" thickBot="1" x14ac:dyDescent="0.25">
      <c r="A15" s="21"/>
      <c r="B15" s="19" t="s">
        <v>209</v>
      </c>
      <c r="C15" s="19" t="s">
        <v>210</v>
      </c>
      <c r="D15" s="19" t="s">
        <v>211</v>
      </c>
      <c r="E15" s="19" t="s">
        <v>212</v>
      </c>
      <c r="F15" s="19" t="s">
        <v>213</v>
      </c>
    </row>
    <row r="16" spans="1:6" x14ac:dyDescent="0.2">
      <c r="A16" s="20" t="s">
        <v>42</v>
      </c>
      <c r="B16" s="21">
        <v>88</v>
      </c>
      <c r="C16" s="21">
        <v>5</v>
      </c>
      <c r="D16" s="21">
        <v>11.18</v>
      </c>
      <c r="E16" s="21">
        <v>3.4161000000000001</v>
      </c>
      <c r="F16" s="21">
        <v>4.2960000000000003</v>
      </c>
    </row>
    <row r="17" spans="1:6" x14ac:dyDescent="0.2">
      <c r="A17" s="20" t="s">
        <v>219</v>
      </c>
      <c r="B17" s="21">
        <v>87</v>
      </c>
      <c r="C17" s="21">
        <v>12</v>
      </c>
      <c r="D17" s="21">
        <v>10.59</v>
      </c>
      <c r="E17" s="21">
        <v>0.189</v>
      </c>
      <c r="F17" s="21">
        <v>0.2349</v>
      </c>
    </row>
    <row r="18" spans="1:6" x14ac:dyDescent="0.2">
      <c r="A18" s="20" t="s">
        <v>50</v>
      </c>
      <c r="B18" s="21">
        <v>86</v>
      </c>
      <c r="C18" s="21">
        <v>6</v>
      </c>
      <c r="D18" s="21">
        <v>10.43</v>
      </c>
      <c r="E18" s="21">
        <v>1.8827</v>
      </c>
      <c r="F18" s="21">
        <v>2.3323</v>
      </c>
    </row>
    <row r="19" spans="1:6" x14ac:dyDescent="0.2">
      <c r="A19" s="20" t="s">
        <v>81</v>
      </c>
      <c r="B19" s="21">
        <v>77</v>
      </c>
      <c r="C19" s="21">
        <v>9</v>
      </c>
      <c r="D19" s="21">
        <v>9.56</v>
      </c>
      <c r="E19" s="21">
        <v>3.3099999999999997E-2</v>
      </c>
      <c r="F19" s="21">
        <v>4.0399999999999998E-2</v>
      </c>
    </row>
    <row r="20" spans="1:6" x14ac:dyDescent="0.2">
      <c r="A20" s="20" t="s">
        <v>220</v>
      </c>
      <c r="B20" s="21">
        <v>80</v>
      </c>
      <c r="C20" s="21">
        <v>24</v>
      </c>
      <c r="D20" s="21">
        <v>8.77</v>
      </c>
      <c r="E20" s="21">
        <v>26.420200000000001</v>
      </c>
      <c r="F20" s="21">
        <v>31.796199999999999</v>
      </c>
    </row>
    <row r="21" spans="1:6" x14ac:dyDescent="0.2">
      <c r="A21" s="20" t="s">
        <v>70</v>
      </c>
      <c r="B21" s="21">
        <v>85</v>
      </c>
      <c r="C21" s="21">
        <v>5</v>
      </c>
      <c r="D21" s="21">
        <v>10.47</v>
      </c>
      <c r="E21" s="21">
        <v>2.8542999999999998</v>
      </c>
      <c r="F21" s="21">
        <v>3.5387</v>
      </c>
    </row>
    <row r="23" spans="1:6" x14ac:dyDescent="0.2">
      <c r="A23" t="s">
        <v>215</v>
      </c>
    </row>
    <row r="25" spans="1:6" x14ac:dyDescent="0.2">
      <c r="A25" t="s">
        <v>203</v>
      </c>
    </row>
    <row r="26" spans="1:6" x14ac:dyDescent="0.2">
      <c r="A26" t="s">
        <v>221</v>
      </c>
    </row>
    <row r="28" spans="1:6" ht="17" thickBot="1" x14ac:dyDescent="0.25">
      <c r="A28" s="21"/>
      <c r="B28" s="19" t="s">
        <v>209</v>
      </c>
      <c r="C28" s="19" t="s">
        <v>210</v>
      </c>
      <c r="D28" s="19" t="s">
        <v>211</v>
      </c>
      <c r="E28" s="19" t="s">
        <v>212</v>
      </c>
      <c r="F28" s="19" t="s">
        <v>213</v>
      </c>
    </row>
    <row r="29" spans="1:6" x14ac:dyDescent="0.2">
      <c r="A29" s="20" t="s">
        <v>223</v>
      </c>
      <c r="B29" s="21">
        <v>261</v>
      </c>
      <c r="C29" s="21">
        <v>23</v>
      </c>
      <c r="D29" s="21">
        <v>32.200000000000003</v>
      </c>
      <c r="E29" s="21">
        <v>2.63</v>
      </c>
      <c r="F29" s="21">
        <v>5.72</v>
      </c>
    </row>
    <row r="30" spans="1:6" x14ac:dyDescent="0.2">
      <c r="A30" s="20" t="s">
        <v>224</v>
      </c>
      <c r="B30" s="21">
        <v>242</v>
      </c>
      <c r="C30" s="21">
        <v>38</v>
      </c>
      <c r="D30" s="21">
        <v>28.8</v>
      </c>
      <c r="E30" s="21">
        <v>2.94</v>
      </c>
      <c r="F30" s="21">
        <v>5.72</v>
      </c>
    </row>
    <row r="32" spans="1:6" x14ac:dyDescent="0.2">
      <c r="A32" t="s">
        <v>222</v>
      </c>
    </row>
    <row r="35" spans="1:6" x14ac:dyDescent="0.2">
      <c r="A35" t="s">
        <v>203</v>
      </c>
    </row>
    <row r="36" spans="1:6" x14ac:dyDescent="0.2">
      <c r="A36" t="s">
        <v>225</v>
      </c>
    </row>
    <row r="37" spans="1:6" x14ac:dyDescent="0.2">
      <c r="A37" s="27" t="s">
        <v>227</v>
      </c>
    </row>
    <row r="38" spans="1:6" s="27" customFormat="1" ht="17" thickBot="1" x14ac:dyDescent="0.25">
      <c r="A38" s="33"/>
      <c r="B38" s="19" t="s">
        <v>209</v>
      </c>
      <c r="C38" s="19" t="s">
        <v>210</v>
      </c>
      <c r="D38" s="19" t="s">
        <v>211</v>
      </c>
      <c r="E38" s="19" t="s">
        <v>212</v>
      </c>
      <c r="F38" s="19" t="s">
        <v>213</v>
      </c>
    </row>
    <row r="39" spans="1:6" x14ac:dyDescent="0.2">
      <c r="A39" s="20" t="s">
        <v>217</v>
      </c>
      <c r="B39" s="21">
        <v>44</v>
      </c>
      <c r="C39" s="21">
        <v>6</v>
      </c>
      <c r="D39" s="21">
        <v>9.75</v>
      </c>
      <c r="E39" s="21">
        <v>1.44</v>
      </c>
      <c r="F39" s="21">
        <v>3.45</v>
      </c>
    </row>
    <row r="40" spans="1:6" x14ac:dyDescent="0.2">
      <c r="A40" s="20" t="s">
        <v>216</v>
      </c>
      <c r="B40" s="21">
        <v>40</v>
      </c>
      <c r="C40" s="21">
        <v>12</v>
      </c>
      <c r="D40" s="21">
        <v>8.25</v>
      </c>
      <c r="E40" s="21">
        <v>1.7</v>
      </c>
      <c r="F40" s="21">
        <v>3.45</v>
      </c>
    </row>
    <row r="42" spans="1:6" x14ac:dyDescent="0.2">
      <c r="A42" t="s">
        <v>226</v>
      </c>
    </row>
    <row r="44" spans="1:6" x14ac:dyDescent="0.2">
      <c r="A44" t="s">
        <v>203</v>
      </c>
    </row>
    <row r="45" spans="1:6" x14ac:dyDescent="0.2">
      <c r="A45" t="s">
        <v>225</v>
      </c>
    </row>
    <row r="47" spans="1:6" ht="17" thickBot="1" x14ac:dyDescent="0.25">
      <c r="B47" s="7" t="s">
        <v>209</v>
      </c>
      <c r="C47" s="7" t="s">
        <v>210</v>
      </c>
      <c r="D47" s="7" t="s">
        <v>211</v>
      </c>
      <c r="E47" s="7" t="s">
        <v>212</v>
      </c>
      <c r="F47" s="7" t="s">
        <v>213</v>
      </c>
    </row>
    <row r="48" spans="1:6" x14ac:dyDescent="0.2">
      <c r="A48" s="8" t="s">
        <v>216</v>
      </c>
      <c r="B48">
        <v>87</v>
      </c>
      <c r="C48">
        <v>12</v>
      </c>
      <c r="D48">
        <v>19.5</v>
      </c>
      <c r="E48">
        <v>2.91</v>
      </c>
      <c r="F48">
        <v>6.95</v>
      </c>
    </row>
    <row r="49" spans="1:6" x14ac:dyDescent="0.2">
      <c r="A49" s="8" t="s">
        <v>218</v>
      </c>
      <c r="B49">
        <v>80</v>
      </c>
      <c r="C49">
        <v>24</v>
      </c>
      <c r="D49">
        <v>16.5</v>
      </c>
      <c r="E49">
        <v>3.46</v>
      </c>
      <c r="F49">
        <v>6.95</v>
      </c>
    </row>
    <row r="51" spans="1:6" x14ac:dyDescent="0.2">
      <c r="A51" t="s">
        <v>228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9A48-6C87-0446-B3D2-C4AD2C325120}">
  <dimension ref="A1:F12"/>
  <sheetViews>
    <sheetView workbookViewId="0">
      <selection activeCell="C17" sqref="C17"/>
    </sheetView>
  </sheetViews>
  <sheetFormatPr baseColWidth="10" defaultRowHeight="16" x14ac:dyDescent="0.2"/>
  <cols>
    <col min="1" max="1" width="17.33203125" customWidth="1"/>
    <col min="2" max="4" width="12.1640625" bestFit="1" customWidth="1"/>
    <col min="5" max="5" width="11.6640625" bestFit="1" customWidth="1"/>
  </cols>
  <sheetData>
    <row r="1" spans="1:6" x14ac:dyDescent="0.2">
      <c r="A1" t="s">
        <v>167</v>
      </c>
    </row>
    <row r="2" spans="1:6" x14ac:dyDescent="0.2">
      <c r="A2" t="s">
        <v>168</v>
      </c>
    </row>
    <row r="3" spans="1:6" x14ac:dyDescent="0.2">
      <c r="A3" t="s">
        <v>169</v>
      </c>
    </row>
    <row r="5" spans="1:6" x14ac:dyDescent="0.2">
      <c r="A5" t="s">
        <v>170</v>
      </c>
    </row>
    <row r="7" spans="1:6" x14ac:dyDescent="0.2">
      <c r="A7" t="s">
        <v>171</v>
      </c>
    </row>
    <row r="8" spans="1:6" x14ac:dyDescent="0.2">
      <c r="A8" s="21"/>
      <c r="B8" s="25" t="s">
        <v>17</v>
      </c>
      <c r="C8" s="25" t="s">
        <v>18</v>
      </c>
      <c r="D8" s="25" t="s">
        <v>19</v>
      </c>
      <c r="E8" s="25" t="s">
        <v>20</v>
      </c>
      <c r="F8" s="21"/>
    </row>
    <row r="9" spans="1:6" x14ac:dyDescent="0.2">
      <c r="A9" s="20" t="s">
        <v>172</v>
      </c>
      <c r="B9" s="26">
        <v>1.1828519799999999</v>
      </c>
      <c r="C9" s="26">
        <v>0.51050519999999999</v>
      </c>
      <c r="D9" s="26">
        <v>1.8551987999999999</v>
      </c>
      <c r="E9" s="26">
        <v>2.308E-4</v>
      </c>
      <c r="F9" s="21" t="s">
        <v>7</v>
      </c>
    </row>
    <row r="10" spans="1:6" x14ac:dyDescent="0.2">
      <c r="A10" s="20" t="s">
        <v>173</v>
      </c>
      <c r="B10" s="26">
        <v>-8.0543480000000001E-2</v>
      </c>
      <c r="C10" s="26">
        <v>-0.76102309999999995</v>
      </c>
      <c r="D10" s="26">
        <v>0.59993609999999997</v>
      </c>
      <c r="E10" s="26">
        <v>0.956511</v>
      </c>
      <c r="F10" s="21"/>
    </row>
    <row r="11" spans="1:6" x14ac:dyDescent="0.2">
      <c r="A11" s="20" t="s">
        <v>174</v>
      </c>
      <c r="B11" s="26">
        <v>-1.26339545</v>
      </c>
      <c r="C11" s="26">
        <v>-1.9512167</v>
      </c>
      <c r="D11" s="26">
        <v>-0.57557420000000004</v>
      </c>
      <c r="E11" s="26">
        <v>1.211E-4</v>
      </c>
      <c r="F11" s="21" t="s">
        <v>7</v>
      </c>
    </row>
    <row r="12" spans="1:6" x14ac:dyDescent="0.2">
      <c r="A12" s="21"/>
      <c r="B12" s="21"/>
      <c r="C12" s="21"/>
      <c r="D12" s="21"/>
      <c r="E12" s="21"/>
      <c r="F12" s="2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 1</vt:lpstr>
      <vt:lpstr>table 2</vt:lpstr>
      <vt:lpstr>table 3</vt:lpstr>
      <vt:lpstr>mult_comp</vt:lpstr>
      <vt:lpstr>supp1</vt:lpstr>
      <vt:lpstr>supp2</vt:lpstr>
      <vt:lpstr>supp1 (2)</vt:lpstr>
      <vt:lpstr>mortality analysis</vt:lpstr>
      <vt:lpstr>Kaplan Meiers</vt:lpstr>
      <vt:lpstr>Tukey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Olivia Cattau</dc:creator>
  <cp:lastModifiedBy>Olivia Cattau</cp:lastModifiedBy>
  <dcterms:created xsi:type="dcterms:W3CDTF">2023-02-16T19:45:07Z</dcterms:created>
  <dcterms:modified xsi:type="dcterms:W3CDTF">2023-02-22T21:31:00Z</dcterms:modified>
</cp:coreProperties>
</file>